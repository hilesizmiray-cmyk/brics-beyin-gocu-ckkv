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0015933f96f91db3/Desktop/"/>
    </mc:Choice>
  </mc:AlternateContent>
  <xr:revisionPtr revIDLastSave="611" documentId="11_695F43D7D7768ACFEB3B98154BDCC63F918ABB1C" xr6:coauthVersionLast="47" xr6:coauthVersionMax="47" xr10:uidLastSave="{F4FB327B-E3BE-4D9D-9569-A1DC9FECF266}"/>
  <bookViews>
    <workbookView xWindow="-110" yWindow="-110" windowWidth="19420" windowHeight="11500" activeTab="3" xr2:uid="{00000000-000D-0000-FFFF-FFFF00000000}"/>
  </bookViews>
  <sheets>
    <sheet name="Karar Matrisi" sheetId="1" r:id="rId1"/>
    <sheet name="entropy" sheetId="2" r:id="rId2"/>
    <sheet name="moora" sheetId="4" r:id="rId3"/>
    <sheet name="copra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5" l="1"/>
  <c r="D34" i="5"/>
  <c r="E34" i="5"/>
  <c r="G34" i="5"/>
  <c r="B34" i="5"/>
  <c r="G31" i="5"/>
  <c r="E31" i="5"/>
  <c r="D31" i="5"/>
  <c r="C31" i="5"/>
  <c r="B31" i="5"/>
  <c r="I30" i="5"/>
  <c r="G28" i="5"/>
  <c r="E28" i="5"/>
  <c r="D28" i="5"/>
  <c r="C28" i="5"/>
  <c r="B25" i="5"/>
  <c r="F21" i="5"/>
  <c r="E21" i="5"/>
  <c r="G10" i="5"/>
  <c r="G19" i="5" s="1"/>
  <c r="G11" i="5"/>
  <c r="G20" i="5" s="1"/>
  <c r="G12" i="5"/>
  <c r="G21" i="5" s="1"/>
  <c r="G13" i="5"/>
  <c r="G22" i="5" s="1"/>
  <c r="F10" i="5"/>
  <c r="F19" i="5" s="1"/>
  <c r="F11" i="5"/>
  <c r="F20" i="5" s="1"/>
  <c r="F12" i="5"/>
  <c r="F13" i="5"/>
  <c r="F22" i="5" s="1"/>
  <c r="G9" i="5"/>
  <c r="G18" i="5" s="1"/>
  <c r="F9" i="5"/>
  <c r="F18" i="5" s="1"/>
  <c r="C9" i="5"/>
  <c r="C18" i="5" s="1"/>
  <c r="D9" i="5"/>
  <c r="E9" i="5"/>
  <c r="E18" i="5" s="1"/>
  <c r="B10" i="5"/>
  <c r="B19" i="5" s="1"/>
  <c r="C10" i="5"/>
  <c r="C19" i="5" s="1"/>
  <c r="D10" i="5"/>
  <c r="D19" i="5" s="1"/>
  <c r="E10" i="5"/>
  <c r="E19" i="5" s="1"/>
  <c r="B11" i="5"/>
  <c r="B20" i="5" s="1"/>
  <c r="C11" i="5"/>
  <c r="C20" i="5" s="1"/>
  <c r="D11" i="5"/>
  <c r="D20" i="5" s="1"/>
  <c r="E11" i="5"/>
  <c r="E20" i="5" s="1"/>
  <c r="B12" i="5"/>
  <c r="B21" i="5" s="1"/>
  <c r="E25" i="5" s="1"/>
  <c r="C12" i="5"/>
  <c r="C21" i="5" s="1"/>
  <c r="D12" i="5"/>
  <c r="D21" i="5" s="1"/>
  <c r="E12" i="5"/>
  <c r="B13" i="5"/>
  <c r="B22" i="5" s="1"/>
  <c r="C13" i="5"/>
  <c r="C22" i="5" s="1"/>
  <c r="D13" i="5"/>
  <c r="D22" i="5" s="1"/>
  <c r="E13" i="5"/>
  <c r="E22" i="5" s="1"/>
  <c r="B9" i="5"/>
  <c r="B18" i="5" s="1"/>
  <c r="C31" i="4"/>
  <c r="C30" i="4"/>
  <c r="C29" i="4"/>
  <c r="C28" i="4"/>
  <c r="C27" i="4"/>
  <c r="G21" i="4"/>
  <c r="G22" i="4"/>
  <c r="G23" i="4"/>
  <c r="G24" i="4"/>
  <c r="F21" i="4"/>
  <c r="F22" i="4"/>
  <c r="F23" i="4"/>
  <c r="F24" i="4"/>
  <c r="E21" i="4"/>
  <c r="E22" i="4"/>
  <c r="E23" i="4"/>
  <c r="E24" i="4"/>
  <c r="D21" i="4"/>
  <c r="D22" i="4"/>
  <c r="D23" i="4"/>
  <c r="D24" i="4"/>
  <c r="C21" i="4"/>
  <c r="C22" i="4"/>
  <c r="C23" i="4"/>
  <c r="C24" i="4"/>
  <c r="B21" i="4"/>
  <c r="B22" i="4"/>
  <c r="B23" i="4"/>
  <c r="B24" i="4"/>
  <c r="G20" i="4"/>
  <c r="F20" i="4"/>
  <c r="E20" i="4"/>
  <c r="D20" i="4"/>
  <c r="C20" i="4"/>
  <c r="B20" i="4"/>
  <c r="G9" i="4"/>
  <c r="G15" i="4" s="1"/>
  <c r="F9" i="4"/>
  <c r="F13" i="4" s="1"/>
  <c r="E9" i="4"/>
  <c r="E13" i="4" s="1"/>
  <c r="D9" i="4"/>
  <c r="D12" i="4" s="1"/>
  <c r="C9" i="4"/>
  <c r="C15" i="4" s="1"/>
  <c r="B9" i="4"/>
  <c r="B15" i="4" s="1"/>
  <c r="H21" i="2"/>
  <c r="D17" i="2" a="1"/>
  <c r="D17" i="2" s="1"/>
  <c r="D19" i="2" s="1"/>
  <c r="E17" i="2" a="1"/>
  <c r="E17" i="2" s="1"/>
  <c r="E19" i="2" s="1"/>
  <c r="I16" i="2"/>
  <c r="F17" i="2" s="1" a="1"/>
  <c r="F17" i="2" s="1"/>
  <c r="F19" i="2" s="1"/>
  <c r="G10" i="2"/>
  <c r="F10" i="2"/>
  <c r="E10" i="2"/>
  <c r="E11" i="2"/>
  <c r="D10" i="2"/>
  <c r="G12" i="2"/>
  <c r="G13" i="2"/>
  <c r="G14" i="2"/>
  <c r="G11" i="2"/>
  <c r="F12" i="2"/>
  <c r="F13" i="2"/>
  <c r="F14" i="2"/>
  <c r="F11" i="2"/>
  <c r="E12" i="2"/>
  <c r="E13" i="2"/>
  <c r="E14" i="2"/>
  <c r="D12" i="2"/>
  <c r="D13" i="2"/>
  <c r="D14" i="2"/>
  <c r="D11" i="2"/>
  <c r="B11" i="2"/>
  <c r="B12" i="2"/>
  <c r="B13" i="2"/>
  <c r="B14" i="2"/>
  <c r="C11" i="2"/>
  <c r="C12" i="2"/>
  <c r="C17" i="2" s="1" a="1"/>
  <c r="C17" i="2" s="1"/>
  <c r="C19" i="2" s="1"/>
  <c r="C13" i="2"/>
  <c r="C14" i="2"/>
  <c r="C10" i="2"/>
  <c r="B10" i="2"/>
  <c r="D25" i="5" l="1"/>
  <c r="C25" i="5"/>
  <c r="G25" i="5"/>
  <c r="F14" i="5"/>
  <c r="D14" i="5"/>
  <c r="G14" i="5"/>
  <c r="B14" i="5"/>
  <c r="E14" i="5"/>
  <c r="D18" i="5"/>
  <c r="B28" i="5" s="1"/>
  <c r="C14" i="5"/>
  <c r="G13" i="4"/>
  <c r="B14" i="4"/>
  <c r="B13" i="4"/>
  <c r="C14" i="4"/>
  <c r="C13" i="4"/>
  <c r="G14" i="4"/>
  <c r="E16" i="4"/>
  <c r="G12" i="4"/>
  <c r="D16" i="4"/>
  <c r="D15" i="4"/>
  <c r="B12" i="4"/>
  <c r="D14" i="4"/>
  <c r="D13" i="4"/>
  <c r="F12" i="4"/>
  <c r="E12" i="4"/>
  <c r="E15" i="4"/>
  <c r="E14" i="4"/>
  <c r="C12" i="4"/>
  <c r="B16" i="4"/>
  <c r="F16" i="4"/>
  <c r="F15" i="4"/>
  <c r="F14" i="4"/>
  <c r="C16" i="4"/>
  <c r="G16" i="4"/>
  <c r="C21" i="2"/>
  <c r="E21" i="2"/>
  <c r="F21" i="2"/>
  <c r="D21" i="2"/>
  <c r="B17" i="2" a="1"/>
  <c r="B17" i="2" s="1"/>
  <c r="B19" i="2" s="1"/>
  <c r="G17" i="2" a="1"/>
  <c r="G17" i="2" s="1"/>
  <c r="G19" i="2" s="1"/>
  <c r="G21" i="2" s="1"/>
  <c r="B2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tc={0FE0A49C-B7AA-441C-805D-28E4D8FDF85B}</author>
    <author>tc={683E0A51-A7AA-49B2-B248-931DD23DCF4C}</author>
    <author>tc={0F7B948D-23C4-4821-95FE-518B49DC1538}</author>
    <author>tc={3A89CCF1-5424-4DCD-A368-F377E2738176}</author>
    <author>tc={C1A120D4-3F7C-4E49-BCEE-46E558B64C59}</author>
    <author>tc={4A045686-EE99-484F-A3E2-907E90EAD3BF}</author>
  </authors>
  <commentList>
    <comment ref="B1" authorId="0" shapeId="0" xr:uid="{0FE0A49C-B7AA-441C-805D-28E4D8FDF85B}">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1" authorId="1" shapeId="0" xr:uid="{683E0A51-A7AA-49B2-B248-931DD23DCF4C}">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1" authorId="2" shapeId="0" xr:uid="{0F7B948D-23C4-4821-95FE-518B49DC1538}">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1" authorId="3" shapeId="0" xr:uid="{3A89CCF1-5424-4DCD-A368-F377E2738176}">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1" authorId="4" shapeId="0" xr:uid="{C1A120D4-3F7C-4E49-BCEE-46E558B64C59}">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1" authorId="5" shapeId="0" xr:uid="{4A045686-EE99-484F-A3E2-907E90EAD3BF}">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tc={8B209DA3-AA8F-4CC0-8B23-108D89F8CABE}</author>
    <author>tc={A7D84369-2504-4CFB-B959-3DC187ECA933}</author>
    <author>tc={4732656E-7DFC-452A-A13B-797110C09043}</author>
    <author>tc={48AFC3C0-40C4-40D6-81E4-A9E1838533EB}</author>
    <author>tc={48DF1DD1-4431-4CA8-A14A-851F9352993F}</author>
    <author>tc={4C4C4F60-7BEB-4C48-B5BB-E5E1C19D153B}</author>
    <author>tc={43B9B440-E3A5-48C6-AC3E-38ACBACA7B60}</author>
    <author>tc={C307875D-AD6E-4C1A-877B-67FE278378C5}</author>
    <author>tc={C36E4050-743C-4769-94E2-DA75FF0285AE}</author>
    <author>tc={6FAA68C8-566A-42A5-A3D6-4B6315443EF3}</author>
    <author>tc={775E9499-CA9A-46F0-8AB4-DB80FBE3225C}</author>
    <author>tc={988F35D2-1410-486B-BDC3-133A81C022A9}</author>
    <author>tc={0ED48482-BCA6-4951-9922-E4E0EB2AF9E4}</author>
    <author>tc={CDA69373-5142-4439-993F-EAAF7A0A8C94}</author>
    <author>tc={01BD1185-4F49-4FA8-A04C-872D705ED0CA}</author>
    <author>tc={8BD7AC16-CC42-4847-9D3F-021CABDB26BF}</author>
    <author>tc={9BE2A11E-B4DB-4B03-AE7B-D7A200FAFE6D}</author>
    <author>tc={210C73E3-C7C9-4822-AA85-FEEBD634048C}</author>
    <author>miray hilesiz</author>
  </authors>
  <commentList>
    <comment ref="B2" authorId="0" shapeId="0" xr:uid="{8B209DA3-AA8F-4CC0-8B23-108D89F8CABE}">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2" authorId="1" shapeId="0" xr:uid="{A7D84369-2504-4CFB-B959-3DC187ECA933}">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2" authorId="2" shapeId="0" xr:uid="{4732656E-7DFC-452A-A13B-797110C09043}">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2" authorId="3" shapeId="0" xr:uid="{48AFC3C0-40C4-40D6-81E4-A9E1838533EB}">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2" authorId="4" shapeId="0" xr:uid="{48DF1DD1-4431-4CA8-A14A-851F9352993F}">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2" authorId="5" shapeId="0" xr:uid="{4C4C4F60-7BEB-4C48-B5BB-E5E1C19D153B}">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 ref="B11" authorId="6" shapeId="0" xr:uid="{43B9B440-E3A5-48C6-AC3E-38ACBACA7B60}">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11" authorId="7" shapeId="0" xr:uid="{C307875D-AD6E-4C1A-877B-67FE278378C5}">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11" authorId="8" shapeId="0" xr:uid="{C36E4050-743C-4769-94E2-DA75FF0285AE}">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11" authorId="9" shapeId="0" xr:uid="{6FAA68C8-566A-42A5-A3D6-4B6315443EF3}">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11" authorId="10" shapeId="0" xr:uid="{775E9499-CA9A-46F0-8AB4-DB80FBE3225C}">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11" authorId="11" shapeId="0" xr:uid="{988F35D2-1410-486B-BDC3-133A81C022A9}">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 ref="B19" authorId="12" shapeId="0" xr:uid="{0ED48482-BCA6-4951-9922-E4E0EB2AF9E4}">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19" authorId="13" shapeId="0" xr:uid="{CDA69373-5142-4439-993F-EAAF7A0A8C94}">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19" authorId="14" shapeId="0" xr:uid="{01BD1185-4F49-4FA8-A04C-872D705ED0CA}">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19" authorId="15" shapeId="0" xr:uid="{8BD7AC16-CC42-4847-9D3F-021CABDB26BF}">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19" authorId="16" shapeId="0" xr:uid="{9BE2A11E-B4DB-4B03-AE7B-D7A200FAFE6D}">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19" authorId="17" shapeId="0" xr:uid="{210C73E3-C7C9-4822-AA85-FEEBD634048C}">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 ref="F32" authorId="18" shapeId="0" xr:uid="{86B3E8F8-4440-4954-9EB2-DB230302B74A}">
      <text>
        <r>
          <rPr>
            <b/>
            <sz val="9"/>
            <color indexed="81"/>
            <rFont val="Tahoma"/>
            <family val="2"/>
            <charset val="162"/>
          </rPr>
          <t>miray hilesiz:</t>
        </r>
        <r>
          <rPr>
            <sz val="9"/>
            <color indexed="81"/>
            <rFont val="Tahoma"/>
            <family val="2"/>
            <charset val="162"/>
          </rPr>
          <t xml:space="preserve">
Bu çalışma beyin göçü riskini dolaylı göstergeler üzerinden değerlendirmektedir. Yi değeri yüksek olan ülkeler, ekonomik ve refah koşulları açısından genç nüfus için görece daha elverişli olduğundan, beyin göçü riskinin daha düşük olduğu ülkeler olarak yorumlanmıştır.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tc={3C6A590A-9EE7-4AEA-AC19-2B6EE0E20A67}</author>
    <author>tc={3914EAC0-3352-4860-9E99-B843A9C7F39B}</author>
    <author>tc={84CA0777-A35E-449E-BD3E-ADE530D41141}</author>
    <author>tc={45DD924F-20D6-44C2-8BF2-2551776B852C}</author>
    <author>tc={B5E41288-F9E1-4455-9767-0AC287BB7D59}</author>
    <author>tc={7994F7D5-A7CC-435C-A14E-5A1D06AA9A77}</author>
    <author>tc={3F8D0117-1F65-46FF-A13A-9E9BACF28A69}</author>
    <author>tc={35B697A1-C1D4-4291-A9B3-014845C62C54}</author>
    <author>tc={38E8B1DD-C0E8-4F94-938C-68600A3832CC}</author>
    <author>tc={A8EE1C12-0D3D-4E49-9B90-52B0D21BBBF6}</author>
    <author>tc={6BC9425B-4D94-44E6-A464-AD9A9133A7DC}</author>
    <author>tc={77BA3F8F-D2BB-4418-AC10-C488A53B4E7B}</author>
    <author>tc={35C99E64-D1CF-47E8-B5B0-8CF462F345B2}</author>
    <author>tc={3504B1C8-D26F-4C84-9431-73F6A6DF0CDD}</author>
  </authors>
  <commentList>
    <comment ref="B2" authorId="0" shapeId="0" xr:uid="{3C6A590A-9EE7-4AEA-AC19-2B6EE0E20A67}">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2" authorId="1" shapeId="0" xr:uid="{3914EAC0-3352-4860-9E99-B843A9C7F39B}">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2" authorId="2" shapeId="0" xr:uid="{84CA0777-A35E-449E-BD3E-ADE530D41141}">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2" authorId="3" shapeId="0" xr:uid="{45DD924F-20D6-44C2-8BF2-2551776B852C}">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2" authorId="4" shapeId="0" xr:uid="{B5E41288-F9E1-4455-9767-0AC287BB7D59}">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2" authorId="5" shapeId="0" xr:uid="{7994F7D5-A7CC-435C-A14E-5A1D06AA9A77}">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 ref="B17" authorId="6" shapeId="0" xr:uid="{3F8D0117-1F65-46FF-A13A-9E9BACF28A69}">
      <text>
        <t>[Yorum yazışması]
Excel sürümünüz bu yorum yazışmasını okumanıza izin veriyor, ancak dosya daha yeni bir Excel sürümünde açılırsa, yapılan düzenlemeler kaldırılır. Daha fazla bilgi: https://go.microsoft.com/fwlink/?linkid=870924.
Açıklama:
    Employment to population ratio, 15+, total (%) (modeled ILO estimate)15 yaş ve üzeri nüfusta istihdam oranı (%)</t>
      </text>
    </comment>
    <comment ref="C17" authorId="7" shapeId="0" xr:uid="{35B697A1-C1D4-4291-A9B3-014845C62C54}">
      <text>
        <t xml:space="preserve">[Yorum yazışması]
Excel sürümünüz bu yorum yazışmasını okumanıza izin veriyor, ancak dosya daha yeni bir Excel sürümünde açılırsa, yapılan düzenlemeler kaldırılır. Daha fazla bilgi: https://go.microsoft.com/fwlink/?linkid=870924.
Açıklama:
    GDP per capita, PPP (current international $)Satın alma gücü paritesine (SGP) göre kişi başına düşen GSYH </t>
      </text>
    </comment>
    <comment ref="D17" authorId="8" shapeId="0" xr:uid="{38E8B1DD-C0E8-4F94-938C-68600A3832CC}">
      <text>
        <t>[Yorum yazışması]
Excel sürümünüz bu yorum yazışmasını okumanıza izin veriyor, ancak dosya daha yeni bir Excel sürümünde açılırsa, yapılan düzenlemeler kaldırılır. Daha fazla bilgi: https://go.microsoft.com/fwlink/?linkid=870924.
Açıklama:
    Inflation, consumer prices (annual %)Tüketici fiyatları enflasyonu (yıllık %)</t>
      </text>
    </comment>
    <comment ref="E17" authorId="9" shapeId="0" xr:uid="{A8EE1C12-0D3D-4E49-9B90-52B0D21BBBF6}">
      <text>
        <t>[Yorum yazışması]
Excel sürümünüz bu yorum yazışmasını okumanıza izin veriyor, ancak dosya daha yeni bir Excel sürümünde açılırsa, yapılan düzenlemeler kaldırılır. Daha fazla bilgi: https://go.microsoft.com/fwlink/?linkid=870924.
Açıklama:
    Life expectancy at birth, total (years)Doğuşta beklenen yaşam süresi (yıl)</t>
      </text>
    </comment>
    <comment ref="F17" authorId="10" shapeId="0" xr:uid="{6BC9425B-4D94-44E6-A464-AD9A9133A7DC}">
      <text>
        <t>[Yorum yazışması]
Excel sürümünüz bu yorum yazışmasını okumanıza izin veriyor, ancak dosya daha yeni bir Excel sürümünde açılırsa, yapılan düzenlemeler kaldırılır. Daha fazla bilgi: https://go.microsoft.com/fwlink/?linkid=870924.
Açıklama:
    Unemployment, total (% of total labor force) (modeled ILO estimate)İşsizlik oranı (% – toplam işgücü)</t>
      </text>
    </comment>
    <comment ref="G17" authorId="11" shapeId="0" xr:uid="{77BA3F8F-D2BB-4418-AC10-C488A53B4E7B}">
      <text>
        <t>[Yorum yazışması]
Excel sürümünüz bu yorum yazışmasını okumanıza izin veriyor, ancak dosya daha yeni bir Excel sürümünde açılırsa, yapılan düzenlemeler kaldırılır. Daha fazla bilgi: https://go.microsoft.com/fwlink/?linkid=870924.
Açıklama:
    Current health expenditure (% of GDP)Sağlık harcamalarının GSYH içindeki payı (2022)</t>
      </text>
    </comment>
    <comment ref="A31" authorId="12" shapeId="0" xr:uid="{35C99E64-D1CF-47E8-B5B0-8CF462F345B2}">
      <text>
        <t>[Yorum yazışması]
Excel sürümünüz bu yorum yazışmasını okumanıza izin veriyor, ancak dosya daha yeni bir Excel sürümünde açılırsa, yapılan düzenlemeler kaldırılır. Daha fazla bilgi: https://go.microsoft.com/fwlink/?linkid=870924.
Açıklama:
    Qi değeri en yüksek olan alternatif, hem fayda kriterlerinde güçlü hem de maliyet kriterlerinde daha avantajlıdır</t>
      </text>
    </comment>
    <comment ref="A35" authorId="13" shapeId="0" xr:uid="{3504B1C8-D26F-4C84-9431-73F6A6DF0CDD}">
      <text>
        <t xml:space="preserve">[Yorum yazışması]
Excel sürümünüz bu yorum yazışmasını okumanıza izin veriyor, ancak dosya daha yeni bir Excel sürümünde açılırsa, yapılan düzenlemeler kaldırılır. Daha fazla bilgi: https://go.microsoft.com/fwlink/?linkid=870924.
Açıklama:
    Fayda derecesi 100 olan seçenek en iyi seçenek olmaktadır. Diğer seçenekler ise en iyiye göre derecelendirilir.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<sst xmlns="http://schemas.openxmlformats.org/spreadsheetml/2006/main" count="173" uniqueCount="52">
  <si>
    <t>Ülke</t>
  </si>
  <si>
    <t>Brazil</t>
  </si>
  <si>
    <t>China</t>
  </si>
  <si>
    <t>India</t>
  </si>
  <si>
    <t>Russian Federation</t>
  </si>
  <si>
    <t>South Africa</t>
  </si>
  <si>
    <t>GDP per capita, PPP (current international $)Satın alma gücü paritesine (SGP) göre kişi başına düşen GSYH (</t>
  </si>
  <si>
    <t>Inflation, consumer prices (annual %)Tüketici fiyatları enflasyonu (yıllık %)</t>
  </si>
  <si>
    <t>Life expectancy at birth, total (years)Doğuşta beklenen yaşam süresi (yıl)</t>
  </si>
  <si>
    <t>Unemployment, total (% of total labor force) (modeled ILO estimate)İşsizlik oranı (% – toplam işgücü)</t>
  </si>
  <si>
    <t>Employment to population ratio, 15+, total (%) (modeled ILO estimate)15 yaş ve üzeri nüfusta istihdam oranı (%)</t>
  </si>
  <si>
    <t>Current health expenditure (% of GDP)Sağlık harcamalarının GSYH içindeki payı (2022)</t>
  </si>
  <si>
    <t>K1</t>
  </si>
  <si>
    <t>K2</t>
  </si>
  <si>
    <t>K3</t>
  </si>
  <si>
    <t>K4</t>
  </si>
  <si>
    <t>K5</t>
  </si>
  <si>
    <t>K6</t>
  </si>
  <si>
    <t>k sabiti</t>
  </si>
  <si>
    <t xml:space="preserve">                                        KRİTERLERE İLİŞKİN ENTROPY DEĞERİ ej</t>
  </si>
  <si>
    <t xml:space="preserve">                                                    Farklılaşma Değeri dj</t>
  </si>
  <si>
    <t xml:space="preserve">                                               ENTROPY KRİTER AĞIRLIĞI wj</t>
  </si>
  <si>
    <t xml:space="preserve">                                      KARAR MATRİSİ NORMALİZASYONU</t>
  </si>
  <si>
    <t xml:space="preserve">                                             KARAR MATRİSİ</t>
  </si>
  <si>
    <t xml:space="preserve">                       NORMALİZE EDİLMİŞ MOORA MATRİSİ</t>
  </si>
  <si>
    <t>MALİYET</t>
  </si>
  <si>
    <t>FAYDA</t>
  </si>
  <si>
    <t>Yi değerleri = FAYDA KRİTERLERİ TOP- MALİYET KRİTERLERİ TOPLAMI</t>
  </si>
  <si>
    <t>B.K SIRALANIR</t>
  </si>
  <si>
    <t>EN İYİ ALTERNATİF =EN DÜŞÜK RİSK ÇİN.</t>
  </si>
  <si>
    <t>entropy wj</t>
  </si>
  <si>
    <t xml:space="preserve">                     AĞIRLIKLANDIRILMIŞ NORMALİZE MOORA MATRİSİ</t>
  </si>
  <si>
    <t xml:space="preserve">                             NORMALİZE EDİLMİŞ COPRAS MATRİSİ</t>
  </si>
  <si>
    <t>ENTROPY wj</t>
  </si>
  <si>
    <t xml:space="preserve">                        ENTROPY İLE AĞIRLIKLANDIRILMIŞ COPRAS MATRİSİ</t>
  </si>
  <si>
    <t>sütun topl.</t>
  </si>
  <si>
    <t xml:space="preserve">                                          Si⁺ (Fayda kriterleri toplamı)</t>
  </si>
  <si>
    <r>
      <t>Si</t>
    </r>
    <r>
      <rPr>
        <vertAlign val="superscript"/>
        <sz val="11"/>
        <color theme="1"/>
        <rFont val="Calibri"/>
        <family val="2"/>
        <charset val="162"/>
        <scheme val="minor"/>
      </rPr>
      <t>+</t>
    </r>
  </si>
  <si>
    <r>
      <t xml:space="preserve">                                         Si</t>
    </r>
    <r>
      <rPr>
        <vertAlign val="superscript"/>
        <sz val="11"/>
        <color theme="1"/>
        <rFont val="Calibri"/>
        <family val="2"/>
        <charset val="162"/>
        <scheme val="minor"/>
      </rPr>
      <t xml:space="preserve">- </t>
    </r>
    <r>
      <rPr>
        <sz val="11"/>
        <color theme="1"/>
        <rFont val="Calibri"/>
        <family val="2"/>
        <charset val="162"/>
        <scheme val="minor"/>
      </rPr>
      <t xml:space="preserve"> (Maliyet Kriterleri Toplamı)</t>
    </r>
  </si>
  <si>
    <r>
      <t>Si</t>
    </r>
    <r>
      <rPr>
        <vertAlign val="superscript"/>
        <sz val="11"/>
        <color theme="1"/>
        <rFont val="Calibri"/>
        <family val="2"/>
        <charset val="162"/>
        <scheme val="minor"/>
      </rPr>
      <t>-</t>
    </r>
  </si>
  <si>
    <t>∑Si⁻ (toplam maliyet)</t>
  </si>
  <si>
    <t xml:space="preserve">                                 COPRAS – Qi (Göreli Önem Değeri)</t>
  </si>
  <si>
    <t>'Qi = Si+ + (∑Si− / Si−)</t>
  </si>
  <si>
    <t>Qi</t>
  </si>
  <si>
    <t>'Nᵢ = (Qᵢ / Qmax) × 100</t>
  </si>
  <si>
    <r>
      <t xml:space="preserve">                                      N</t>
    </r>
    <r>
      <rPr>
        <vertAlign val="subscript"/>
        <sz val="11"/>
        <color theme="1"/>
        <rFont val="Calibri"/>
        <family val="2"/>
        <charset val="162"/>
        <scheme val="minor"/>
      </rPr>
      <t xml:space="preserve">İ </t>
    </r>
    <r>
      <rPr>
        <sz val="11"/>
        <color theme="1"/>
        <rFont val="Calibri"/>
        <family val="2"/>
        <scheme val="minor"/>
      </rPr>
      <t>Fayda Derecesinin Belirlenmesi</t>
    </r>
  </si>
  <si>
    <r>
      <t>N</t>
    </r>
    <r>
      <rPr>
        <vertAlign val="subscript"/>
        <sz val="11"/>
        <color theme="1"/>
        <rFont val="Calibri"/>
        <family val="2"/>
        <charset val="162"/>
        <scheme val="minor"/>
      </rPr>
      <t>İ</t>
    </r>
  </si>
  <si>
    <t xml:space="preserve">Qmax = </t>
  </si>
  <si>
    <t xml:space="preserve">                              COPRAS SONUÇ SIRALAMASI Ni ' ye GÖRE</t>
  </si>
  <si>
    <t>EN İYİ ALTERNATİF %99,99 ile ÇİN.</t>
  </si>
  <si>
    <t>wj</t>
  </si>
  <si>
    <t>MOORA Önem Yaklaşımına Göre Normalizasyon İçin Kullanılan Paydalar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</si>
</sst>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00"/>
  </numFmts>
  <fonts count="8"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9"/>
      <color indexed="81"/>
      <name val="Tahoma"/>
      <family val="2"/>
      <charset val="162"/>
    </font>
    <font>
      <b/>
      <sz val="9"/>
      <color indexed="81"/>
      <name val="Tahoma"/>
      <family val="2"/>
      <charset val="162"/>
    </font>
    <font>
      <sz val="11"/>
      <name val="Calibri"/>
      <family val="2"/>
      <scheme val="minor"/>
    </font>
    <font>
      <vertAlign val="subscript"/>
      <sz val="11"/>
      <color theme="1"/>
      <name val="Calibri"/>
      <family val="2"/>
      <charset val="162"/>
      <scheme val="minor"/>
    </font>
    <font>
      <vertAlign val="superscript"/>
      <sz val="11"/>
      <color theme="1"/>
      <name val="Calibri"/>
      <family val="2"/>
      <charset val="162"/>
      <scheme val="minor"/>
    </font>
  </fonts>
  <fills count="1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4">
    <xf numFmtId="0" fontId="0" fillId="0" borderId="0" xfId="0"/>
    <xf numFmtId="164" fontId="0" fillId="0" borderId="0" xfId="0" applyNumberFormat="1"/>
    <xf numFmtId="0" fontId="0" fillId="2" borderId="0" xfId="0" applyFill="1"/>
    <xf numFmtId="165" fontId="0" fillId="0" borderId="0" xfId="0" applyNumberFormat="1"/>
    <xf numFmtId="165" fontId="0" fillId="2" borderId="0" xfId="0" applyNumberFormat="1" applyFill="1"/>
    <xf numFmtId="0" fontId="0" fillId="3" borderId="0" xfId="0" applyFill="1"/>
    <xf numFmtId="165" fontId="0" fillId="4" borderId="0" xfId="0" applyNumberFormat="1" applyFill="1"/>
    <xf numFmtId="0" fontId="0" fillId="4" borderId="0" xfId="0" applyFill="1"/>
    <xf numFmtId="0" fontId="0" fillId="5" borderId="0" xfId="0" applyFill="1"/>
    <xf numFmtId="0" fontId="0" fillId="7" borderId="0" xfId="0" applyFill="1"/>
    <xf numFmtId="165" fontId="0" fillId="8" borderId="0" xfId="0" applyNumberFormat="1" applyFill="1"/>
    <xf numFmtId="0" fontId="0" fillId="8" borderId="0" xfId="0" applyFill="1"/>
    <xf numFmtId="0" fontId="2" fillId="2" borderId="0" xfId="0" applyFont="1" applyFill="1"/>
    <xf numFmtId="0" fontId="0" fillId="9" borderId="0" xfId="0" applyFill="1"/>
    <xf numFmtId="165" fontId="0" fillId="5" borderId="0" xfId="0" applyNumberFormat="1" applyFill="1"/>
    <xf numFmtId="165" fontId="0" fillId="7" borderId="0" xfId="0" applyNumberFormat="1" applyFill="1"/>
    <xf numFmtId="165" fontId="0" fillId="6" borderId="0" xfId="0" applyNumberFormat="1" applyFill="1"/>
    <xf numFmtId="164" fontId="0" fillId="7" borderId="0" xfId="0" applyNumberFormat="1" applyFill="1"/>
    <xf numFmtId="0" fontId="5" fillId="5" borderId="0" xfId="0" applyFont="1" applyFill="1"/>
    <xf numFmtId="165" fontId="0" fillId="9" borderId="0" xfId="0" applyNumberFormat="1" applyFill="1"/>
    <xf numFmtId="10" fontId="0" fillId="0" borderId="0" xfId="0" applyNumberFormat="1"/>
    <xf numFmtId="1" fontId="0" fillId="7" borderId="0" xfId="0" applyNumberFormat="1" applyFill="1"/>
    <xf numFmtId="1" fontId="0" fillId="6" borderId="0" xfId="0" applyNumberFormat="1" applyFill="1"/>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iray hilesiz" id="{A1A1C009-904C-4ADE-B12E-053BFD7B69FE}" userId="0015933f96f91db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1-01T21:43:41.12" personId="{A1A1C009-904C-4ADE-B12E-053BFD7B69FE}" id="{0FE0A49C-B7AA-441C-805D-28E4D8FDF85B}">
    <text>Employment to population ratio, 15+, total (%) (modeled ILO estimate)15 yaş ve üzeri nüfusta istihdam oranı (%)</text>
  </threadedComment>
  <threadedComment ref="C1" dT="2026-01-01T21:44:20.27" personId="{A1A1C009-904C-4ADE-B12E-053BFD7B69FE}" id="{683E0A51-A7AA-49B2-B248-931DD23DCF4C}">
    <text xml:space="preserve">GDP per capita, PPP (current international $)Satın alma gücü paritesine (SGP) göre kişi başına düşen GSYH </text>
  </threadedComment>
  <threadedComment ref="D1" dT="2026-01-01T21:44:38.50" personId="{A1A1C009-904C-4ADE-B12E-053BFD7B69FE}" id="{0F7B948D-23C4-4821-95FE-518B49DC1538}">
    <text>Inflation, consumer prices (annual %)Tüketici fiyatları enflasyonu (yıllık %)</text>
  </threadedComment>
  <threadedComment ref="E1" dT="2026-01-01T21:44:56.70" personId="{A1A1C009-904C-4ADE-B12E-053BFD7B69FE}" id="{3A89CCF1-5424-4DCD-A368-F377E2738176}">
    <text>Life expectancy at birth, total (years)Doğuşta beklenen yaşam süresi (yıl)</text>
  </threadedComment>
  <threadedComment ref="F1" dT="2026-01-01T21:45:21.67" personId="{A1A1C009-904C-4ADE-B12E-053BFD7B69FE}" id="{C1A120D4-3F7C-4E49-BCEE-46E558B64C59}">
    <text>Unemployment, total (% of total labor force) (modeled ILO estimate)İşsizlik oranı (% – toplam işgücü)</text>
  </threadedComment>
  <threadedComment ref="G1" dT="2026-01-01T21:45:38.17" personId="{A1A1C009-904C-4ADE-B12E-053BFD7B69FE}" id="{4A045686-EE99-484F-A3E2-907E90EAD3BF}">
    <text>Current health expenditure (% of GDP)Sağlık harcamalarının GSYH içindeki payı (2022)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1-01T21:43:41.12" personId="{A1A1C009-904C-4ADE-B12E-053BFD7B69FE}" id="{8B209DA3-AA8F-4CC0-8B23-108D89F8CABE}">
    <text>Employment to population ratio, 15+, total (%) (modeled ILO estimate)15 yaş ve üzeri nüfusta istihdam oranı (%)</text>
  </threadedComment>
  <threadedComment ref="C2" dT="2026-01-01T21:44:20.27" personId="{A1A1C009-904C-4ADE-B12E-053BFD7B69FE}" id="{A7D84369-2504-4CFB-B959-3DC187ECA933}">
    <text xml:space="preserve">GDP per capita, PPP (current international $)Satın alma gücü paritesine (SGP) göre kişi başına düşen GSYH </text>
  </threadedComment>
  <threadedComment ref="D2" dT="2026-01-01T21:44:38.50" personId="{A1A1C009-904C-4ADE-B12E-053BFD7B69FE}" id="{4732656E-7DFC-452A-A13B-797110C09043}">
    <text>Inflation, consumer prices (annual %)Tüketici fiyatları enflasyonu (yıllık %)</text>
  </threadedComment>
  <threadedComment ref="E2" dT="2026-01-01T21:44:56.70" personId="{A1A1C009-904C-4ADE-B12E-053BFD7B69FE}" id="{48AFC3C0-40C4-40D6-81E4-A9E1838533EB}">
    <text>Life expectancy at birth, total (years)Doğuşta beklenen yaşam süresi (yıl)</text>
  </threadedComment>
  <threadedComment ref="F2" dT="2026-01-01T21:45:21.67" personId="{A1A1C009-904C-4ADE-B12E-053BFD7B69FE}" id="{48DF1DD1-4431-4CA8-A14A-851F9352993F}">
    <text>Unemployment, total (% of total labor force) (modeled ILO estimate)İşsizlik oranı (% – toplam işgücü)</text>
  </threadedComment>
  <threadedComment ref="G2" dT="2026-01-01T21:45:38.17" personId="{A1A1C009-904C-4ADE-B12E-053BFD7B69FE}" id="{4C4C4F60-7BEB-4C48-B5BB-E5E1C19D153B}">
    <text>Current health expenditure (% of GDP)Sağlık harcamalarının GSYH içindeki payı (2022)</text>
  </threadedComment>
  <threadedComment ref="B11" dT="2026-01-01T21:43:41.12" personId="{A1A1C009-904C-4ADE-B12E-053BFD7B69FE}" id="{43B9B440-E3A5-48C6-AC3E-38ACBACA7B60}">
    <text>Employment to population ratio, 15+, total (%) (modeled ILO estimate)15 yaş ve üzeri nüfusta istihdam oranı (%)</text>
  </threadedComment>
  <threadedComment ref="C11" dT="2026-01-01T21:44:20.27" personId="{A1A1C009-904C-4ADE-B12E-053BFD7B69FE}" id="{C307875D-AD6E-4C1A-877B-67FE278378C5}">
    <text xml:space="preserve">GDP per capita, PPP (current international $)Satın alma gücü paritesine (SGP) göre kişi başına düşen GSYH </text>
  </threadedComment>
  <threadedComment ref="D11" dT="2026-01-01T21:44:38.50" personId="{A1A1C009-904C-4ADE-B12E-053BFD7B69FE}" id="{C36E4050-743C-4769-94E2-DA75FF0285AE}">
    <text>Inflation, consumer prices (annual %)Tüketici fiyatları enflasyonu (yıllık %)</text>
  </threadedComment>
  <threadedComment ref="E11" dT="2026-01-01T21:44:56.70" personId="{A1A1C009-904C-4ADE-B12E-053BFD7B69FE}" id="{6FAA68C8-566A-42A5-A3D6-4B6315443EF3}">
    <text>Life expectancy at birth, total (years)Doğuşta beklenen yaşam süresi (yıl)</text>
  </threadedComment>
  <threadedComment ref="F11" dT="2026-01-01T21:45:21.67" personId="{A1A1C009-904C-4ADE-B12E-053BFD7B69FE}" id="{775E9499-CA9A-46F0-8AB4-DB80FBE3225C}">
    <text>Unemployment, total (% of total labor force) (modeled ILO estimate)İşsizlik oranı (% – toplam işgücü)</text>
  </threadedComment>
  <threadedComment ref="G11" dT="2026-01-01T21:45:38.17" personId="{A1A1C009-904C-4ADE-B12E-053BFD7B69FE}" id="{988F35D2-1410-486B-BDC3-133A81C022A9}">
    <text>Current health expenditure (% of GDP)Sağlık harcamalarının GSYH içindeki payı (2022)</text>
  </threadedComment>
  <threadedComment ref="B19" dT="2026-01-01T21:43:41.12" personId="{A1A1C009-904C-4ADE-B12E-053BFD7B69FE}" id="{0ED48482-BCA6-4951-9922-E4E0EB2AF9E4}">
    <text>Employment to population ratio, 15+, total (%) (modeled ILO estimate)15 yaş ve üzeri nüfusta istihdam oranı (%)</text>
  </threadedComment>
  <threadedComment ref="C19" dT="2026-01-01T21:44:20.27" personId="{A1A1C009-904C-4ADE-B12E-053BFD7B69FE}" id="{CDA69373-5142-4439-993F-EAAF7A0A8C94}">
    <text xml:space="preserve">GDP per capita, PPP (current international $)Satın alma gücü paritesine (SGP) göre kişi başına düşen GSYH </text>
  </threadedComment>
  <threadedComment ref="D19" dT="2026-01-01T21:44:38.50" personId="{A1A1C009-904C-4ADE-B12E-053BFD7B69FE}" id="{01BD1185-4F49-4FA8-A04C-872D705ED0CA}">
    <text>Inflation, consumer prices (annual %)Tüketici fiyatları enflasyonu (yıllık %)</text>
  </threadedComment>
  <threadedComment ref="E19" dT="2026-01-01T21:44:56.70" personId="{A1A1C009-904C-4ADE-B12E-053BFD7B69FE}" id="{8BD7AC16-CC42-4847-9D3F-021CABDB26BF}">
    <text>Life expectancy at birth, total (years)Doğuşta beklenen yaşam süresi (yıl)</text>
  </threadedComment>
  <threadedComment ref="F19" dT="2026-01-01T21:45:21.67" personId="{A1A1C009-904C-4ADE-B12E-053BFD7B69FE}" id="{9BE2A11E-B4DB-4B03-AE7B-D7A200FAFE6D}">
    <text>Unemployment, total (% of total labor force) (modeled ILO estimate)İşsizlik oranı (% – toplam işgücü)</text>
  </threadedComment>
  <threadedComment ref="G19" dT="2026-01-01T21:45:38.17" personId="{A1A1C009-904C-4ADE-B12E-053BFD7B69FE}" id="{210C73E3-C7C9-4822-AA85-FEEBD634048C}">
    <text>Current health expenditure (% of GDP)Sağlık harcamalarının GSYH içindeki payı (2022)</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6-01-01T21:43:41.12" personId="{A1A1C009-904C-4ADE-B12E-053BFD7B69FE}" id="{3C6A590A-9EE7-4AEA-AC19-2B6EE0E20A67}">
    <text>Employment to population ratio, 15+, total (%) (modeled ILO estimate)15 yaş ve üzeri nüfusta istihdam oranı (%)</text>
  </threadedComment>
  <threadedComment ref="C2" dT="2026-01-01T21:44:20.27" personId="{A1A1C009-904C-4ADE-B12E-053BFD7B69FE}" id="{3914EAC0-3352-4860-9E99-B843A9C7F39B}">
    <text xml:space="preserve">GDP per capita, PPP (current international $)Satın alma gücü paritesine (SGP) göre kişi başına düşen GSYH </text>
  </threadedComment>
  <threadedComment ref="D2" dT="2026-01-01T21:44:38.50" personId="{A1A1C009-904C-4ADE-B12E-053BFD7B69FE}" id="{84CA0777-A35E-449E-BD3E-ADE530D41141}">
    <text>Inflation, consumer prices (annual %)Tüketici fiyatları enflasyonu (yıllık %)</text>
  </threadedComment>
  <threadedComment ref="E2" dT="2026-01-01T21:44:56.70" personId="{A1A1C009-904C-4ADE-B12E-053BFD7B69FE}" id="{45DD924F-20D6-44C2-8BF2-2551776B852C}">
    <text>Life expectancy at birth, total (years)Doğuşta beklenen yaşam süresi (yıl)</text>
  </threadedComment>
  <threadedComment ref="F2" dT="2026-01-01T21:45:21.67" personId="{A1A1C009-904C-4ADE-B12E-053BFD7B69FE}" id="{B5E41288-F9E1-4455-9767-0AC287BB7D59}">
    <text>Unemployment, total (% of total labor force) (modeled ILO estimate)İşsizlik oranı (% – toplam işgücü)</text>
  </threadedComment>
  <threadedComment ref="G2" dT="2026-01-01T21:45:38.17" personId="{A1A1C009-904C-4ADE-B12E-053BFD7B69FE}" id="{7994F7D5-A7CC-435C-A14E-5A1D06AA9A77}">
    <text>Current health expenditure (% of GDP)Sağlık harcamalarının GSYH içindeki payı (2022)</text>
  </threadedComment>
  <threadedComment ref="B17" dT="2026-01-01T21:43:41.12" personId="{A1A1C009-904C-4ADE-B12E-053BFD7B69FE}" id="{3F8D0117-1F65-46FF-A13A-9E9BACF28A69}">
    <text>Employment to population ratio, 15+, total (%) (modeled ILO estimate)15 yaş ve üzeri nüfusta istihdam oranı (%)</text>
  </threadedComment>
  <threadedComment ref="C17" dT="2026-01-01T21:44:20.27" personId="{A1A1C009-904C-4ADE-B12E-053BFD7B69FE}" id="{35B697A1-C1D4-4291-A9B3-014845C62C54}">
    <text xml:space="preserve">GDP per capita, PPP (current international $)Satın alma gücü paritesine (SGP) göre kişi başına düşen GSYH </text>
  </threadedComment>
  <threadedComment ref="D17" dT="2026-01-01T21:44:38.50" personId="{A1A1C009-904C-4ADE-B12E-053BFD7B69FE}" id="{38E8B1DD-C0E8-4F94-938C-68600A3832CC}">
    <text>Inflation, consumer prices (annual %)Tüketici fiyatları enflasyonu (yıllık %)</text>
  </threadedComment>
  <threadedComment ref="E17" dT="2026-01-01T21:44:56.70" personId="{A1A1C009-904C-4ADE-B12E-053BFD7B69FE}" id="{A8EE1C12-0D3D-4E49-9B90-52B0D21BBBF6}">
    <text>Life expectancy at birth, total (years)Doğuşta beklenen yaşam süresi (yıl)</text>
  </threadedComment>
  <threadedComment ref="F17" dT="2026-01-01T21:45:21.67" personId="{A1A1C009-904C-4ADE-B12E-053BFD7B69FE}" id="{6BC9425B-4D94-44E6-A464-AD9A9133A7DC}">
    <text>Unemployment, total (% of total labor force) (modeled ILO estimate)İşsizlik oranı (% – toplam işgücü)</text>
  </threadedComment>
  <threadedComment ref="G17" dT="2026-01-01T21:45:38.17" personId="{A1A1C009-904C-4ADE-B12E-053BFD7B69FE}" id="{77BA3F8F-D2BB-4418-AC10-C488A53B4E7B}">
    <text>Current health expenditure (% of GDP)Sağlık harcamalarının GSYH içindeki payı (2022)</text>
  </threadedComment>
  <threadedComment ref="A31" dT="2026-01-02T14:23:37.28" personId="{A1A1C009-904C-4ADE-B12E-053BFD7B69FE}" id="{35C99E64-D1CF-47E8-B5B0-8CF462F345B2}">
    <text>Qi değeri en yüksek olan alternatif, hem fayda kriterlerinde güçlü hem de maliyet kriterlerinde daha avantajlıdır</text>
  </threadedComment>
  <threadedComment ref="A35" dT="2026-01-02T14:44:37.87" personId="{A1A1C009-904C-4ADE-B12E-053BFD7B69FE}" id="{3504B1C8-D26F-4C84-9431-73F6A6DF0CDD}">
    <text xml:space="preserve">Fayda derecesi 100 olan seçenek en iyi seçenek olmaktadır. Diğer seçenekler ise en iyiye göre derecelendirilir.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workbookViewId="0">
      <selection activeCell="G1" sqref="G1"/>
    </sheetView>
  </sheetViews>
  <sheetFormatPr defaultRowHeight="14.5" x14ac:dyDescent="0.35"/>
  <cols>
    <col min="1" max="1" width="16.36328125" customWidth="1"/>
    <col min="2" max="2" width="15.7265625" customWidth="1"/>
    <col min="3" max="3" width="19.6328125" customWidth="1"/>
    <col min="4" max="4" width="19.36328125" customWidth="1"/>
    <col min="5" max="5" width="23.453125" customWidth="1"/>
    <col min="6" max="6" width="18.54296875" customWidth="1"/>
    <col min="7" max="7" width="16.90625" style="1" customWidth="1"/>
  </cols>
  <sheetData>
    <row r="1" spans="1:15" x14ac:dyDescent="0.35">
      <c r="A1" s="9" t="s">
        <v>0</v>
      </c>
      <c r="B1" s="9" t="s">
        <v>10</v>
      </c>
      <c r="C1" s="9" t="s">
        <v>6</v>
      </c>
      <c r="D1" s="9" t="s">
        <v>7</v>
      </c>
      <c r="E1" s="9" t="s">
        <v>8</v>
      </c>
      <c r="F1" s="9" t="s">
        <v>9</v>
      </c>
      <c r="G1" s="17" t="s">
        <v>11</v>
      </c>
      <c r="H1" s="9"/>
      <c r="I1" s="9"/>
      <c r="J1" s="9"/>
      <c r="K1" s="9"/>
      <c r="L1" s="9"/>
      <c r="M1" s="9"/>
      <c r="N1" s="9"/>
      <c r="O1" s="9"/>
    </row>
    <row r="2" spans="1:15" x14ac:dyDescent="0.35">
      <c r="A2" s="9" t="s">
        <v>1</v>
      </c>
      <c r="B2">
        <v>57.914999999999999</v>
      </c>
      <c r="C2">
        <v>21175.618698821421</v>
      </c>
      <c r="D2">
        <v>4.5935628228320393</v>
      </c>
      <c r="E2">
        <v>75.847999999999999</v>
      </c>
      <c r="F2">
        <v>7.9470000000000001</v>
      </c>
      <c r="G2" s="1">
        <v>9.14</v>
      </c>
    </row>
    <row r="3" spans="1:15" x14ac:dyDescent="0.35">
      <c r="A3" s="9" t="s">
        <v>2</v>
      </c>
      <c r="B3">
        <v>62.756</v>
      </c>
      <c r="C3">
        <v>25179.119306638298</v>
      </c>
      <c r="D3">
        <v>0.2348368288930508</v>
      </c>
      <c r="E3">
        <v>77.953000000000003</v>
      </c>
      <c r="F3">
        <v>4.67</v>
      </c>
      <c r="G3" s="1">
        <v>5.37</v>
      </c>
    </row>
    <row r="4" spans="1:15" x14ac:dyDescent="0.35">
      <c r="A4" s="9" t="s">
        <v>3</v>
      </c>
      <c r="B4">
        <v>52.369</v>
      </c>
      <c r="C4">
        <v>10323.499873442801</v>
      </c>
      <c r="D4">
        <v>5.649143189079247</v>
      </c>
      <c r="E4">
        <v>72.003</v>
      </c>
      <c r="F4">
        <v>4.1719999999999997</v>
      </c>
      <c r="G4" s="1">
        <v>3.31</v>
      </c>
    </row>
    <row r="5" spans="1:15" x14ac:dyDescent="0.35">
      <c r="A5" s="9" t="s">
        <v>4</v>
      </c>
      <c r="B5">
        <v>59.792000000000002</v>
      </c>
      <c r="C5">
        <v>44268.73046875</v>
      </c>
      <c r="D5">
        <v>5.865719317489674</v>
      </c>
      <c r="E5">
        <v>73.254634146341488</v>
      </c>
      <c r="F5">
        <v>3.0760000000000001</v>
      </c>
      <c r="G5" s="1">
        <v>6.92</v>
      </c>
    </row>
    <row r="6" spans="1:15" x14ac:dyDescent="0.35">
      <c r="A6" s="9" t="s">
        <v>5</v>
      </c>
      <c r="B6">
        <v>39.741999999999997</v>
      </c>
      <c r="C6">
        <v>15199.732982377551</v>
      </c>
      <c r="D6">
        <v>6.0752438457965967</v>
      </c>
      <c r="E6">
        <v>66.138999999999996</v>
      </c>
      <c r="F6">
        <v>32.097999999999999</v>
      </c>
      <c r="G6" s="1">
        <v>8.77</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0BE-7EDF-4D05-ACEF-2AAC746AA588}">
  <dimension ref="A1:L21"/>
  <sheetViews>
    <sheetView topLeftCell="A4" workbookViewId="0">
      <selection activeCell="M18" sqref="M18"/>
    </sheetView>
  </sheetViews>
  <sheetFormatPr defaultRowHeight="14.5" x14ac:dyDescent="0.35"/>
  <cols>
    <col min="1" max="1" width="14.90625" customWidth="1"/>
    <col min="2" max="2" width="9.6328125" style="3" customWidth="1"/>
    <col min="3" max="3" width="10.6328125" customWidth="1"/>
    <col min="4" max="4" width="12" customWidth="1"/>
    <col min="5" max="5" width="9.6328125" customWidth="1"/>
    <col min="6" max="6" width="9" customWidth="1"/>
    <col min="7" max="7" width="7" customWidth="1"/>
  </cols>
  <sheetData>
    <row r="1" spans="1:12" x14ac:dyDescent="0.35">
      <c r="A1" t="s">
        <v>0</v>
      </c>
      <c r="B1" s="3" t="s">
        <v>12</v>
      </c>
      <c r="C1" t="s">
        <v>13</v>
      </c>
      <c r="D1" t="s">
        <v>14</v>
      </c>
      <c r="E1" t="s">
        <v>15</v>
      </c>
      <c r="F1" t="s">
        <v>16</v>
      </c>
      <c r="G1" t="s">
        <v>17</v>
      </c>
    </row>
    <row r="2" spans="1:12" x14ac:dyDescent="0.35">
      <c r="A2" t="s">
        <v>1</v>
      </c>
      <c r="B2" s="3">
        <v>57.914999999999999</v>
      </c>
      <c r="C2">
        <v>21175.618698821421</v>
      </c>
      <c r="D2">
        <v>4.5935628228320393</v>
      </c>
      <c r="E2">
        <v>75.847999999999999</v>
      </c>
      <c r="F2">
        <v>7.9470000000000001</v>
      </c>
      <c r="G2">
        <v>9.14</v>
      </c>
    </row>
    <row r="3" spans="1:12" x14ac:dyDescent="0.35">
      <c r="A3" t="s">
        <v>2</v>
      </c>
      <c r="B3" s="3">
        <v>62.756</v>
      </c>
      <c r="C3">
        <v>25179.119306638298</v>
      </c>
      <c r="D3">
        <v>0.2348368288930508</v>
      </c>
      <c r="E3">
        <v>77.953000000000003</v>
      </c>
      <c r="F3">
        <v>4.67</v>
      </c>
      <c r="G3">
        <v>5.37</v>
      </c>
    </row>
    <row r="4" spans="1:12" x14ac:dyDescent="0.35">
      <c r="A4" t="s">
        <v>3</v>
      </c>
      <c r="B4" s="3">
        <v>52.369</v>
      </c>
      <c r="C4">
        <v>10323.499873442801</v>
      </c>
      <c r="D4">
        <v>5.649143189079247</v>
      </c>
      <c r="E4">
        <v>72.003</v>
      </c>
      <c r="F4">
        <v>4.1719999999999997</v>
      </c>
      <c r="G4">
        <v>3.31</v>
      </c>
    </row>
    <row r="5" spans="1:12" x14ac:dyDescent="0.35">
      <c r="A5" t="s">
        <v>4</v>
      </c>
      <c r="B5" s="3">
        <v>59.792000000000002</v>
      </c>
      <c r="C5">
        <v>44268.73046875</v>
      </c>
      <c r="D5">
        <v>5.865719317489674</v>
      </c>
      <c r="E5">
        <v>73.254634146341488</v>
      </c>
      <c r="F5">
        <v>3.0760000000000001</v>
      </c>
      <c r="G5">
        <v>6.92</v>
      </c>
    </row>
    <row r="6" spans="1:12" x14ac:dyDescent="0.35">
      <c r="A6" t="s">
        <v>5</v>
      </c>
      <c r="B6" s="3">
        <v>39.741999999999997</v>
      </c>
      <c r="C6">
        <v>15199.732982377551</v>
      </c>
      <c r="D6">
        <v>6.0752438457965967</v>
      </c>
      <c r="E6">
        <v>66.138999999999996</v>
      </c>
      <c r="F6">
        <v>32.097999999999999</v>
      </c>
      <c r="G6">
        <v>8.77</v>
      </c>
    </row>
    <row r="8" spans="1:12" x14ac:dyDescent="0.35">
      <c r="A8" s="2" t="s">
        <v>22</v>
      </c>
      <c r="B8" s="4"/>
      <c r="C8" s="2"/>
      <c r="D8" s="2"/>
      <c r="E8" s="2"/>
      <c r="F8" s="2"/>
      <c r="G8" s="2"/>
      <c r="L8" s="3"/>
    </row>
    <row r="9" spans="1:12" x14ac:dyDescent="0.35">
      <c r="A9" t="s">
        <v>0</v>
      </c>
    </row>
    <row r="10" spans="1:12" x14ac:dyDescent="0.35">
      <c r="A10" t="s">
        <v>1</v>
      </c>
      <c r="B10" s="3">
        <f>B2/SUM($B$2:$B$6)</f>
        <v>0.21247441061876773</v>
      </c>
      <c r="C10">
        <f>C2/SUM($C$2:$C$6)</f>
        <v>0.18231786573646239</v>
      </c>
      <c r="D10">
        <f>D2/SUM($D$2:$D$6)</f>
        <v>0.20490048810540151</v>
      </c>
      <c r="E10">
        <f>E2/SUM($E$2:$E$6)</f>
        <v>0.20769028303618831</v>
      </c>
      <c r="F10">
        <f>F2/SUM($F$2:$F$6)</f>
        <v>0.15293574274002655</v>
      </c>
      <c r="G10">
        <f>G2/SUM($G$2:$G$6)</f>
        <v>0.2727544016711429</v>
      </c>
    </row>
    <row r="11" spans="1:12" x14ac:dyDescent="0.35">
      <c r="A11" t="s">
        <v>2</v>
      </c>
      <c r="B11" s="3">
        <f t="shared" ref="B11:B14" si="0">B3/SUM($B$2:$B$6)</f>
        <v>0.23023472524892322</v>
      </c>
      <c r="C11">
        <f t="shared" ref="C11:C14" si="1">C3/SUM($C$2:$C$6)</f>
        <v>0.21678720978129201</v>
      </c>
      <c r="D11">
        <f>D3/SUM($D$2:$D$6)</f>
        <v>1.0475132858996096E-2</v>
      </c>
      <c r="E11">
        <f>E3/SUM($E$2:$E$6)</f>
        <v>0.21345428532749694</v>
      </c>
      <c r="F11">
        <f>F3/SUM($F$2:$F$6)</f>
        <v>8.9871639435752354E-2</v>
      </c>
      <c r="G11">
        <f>G3/SUM($G$2:$G$6)</f>
        <v>0.16025067144136076</v>
      </c>
    </row>
    <row r="12" spans="1:12" x14ac:dyDescent="0.35">
      <c r="A12" t="s">
        <v>3</v>
      </c>
      <c r="B12" s="3">
        <f t="shared" si="0"/>
        <v>0.19212764240169641</v>
      </c>
      <c r="C12">
        <f t="shared" si="1"/>
        <v>8.8883280844185536E-2</v>
      </c>
      <c r="D12">
        <f>D4/SUM($D$2:$D$6)</f>
        <v>0.25198571162808409</v>
      </c>
      <c r="E12">
        <f>E4/SUM($E$2:$E$6)</f>
        <v>0.1971617372831804</v>
      </c>
      <c r="F12">
        <f>F4/SUM($F$2:$F$6)</f>
        <v>8.0287897157592894E-2</v>
      </c>
      <c r="G12">
        <f>G4/SUM($G$2:$G$6)</f>
        <v>9.877648463145329E-2</v>
      </c>
    </row>
    <row r="13" spans="1:12" x14ac:dyDescent="0.35">
      <c r="A13" t="s">
        <v>4</v>
      </c>
      <c r="B13" s="3">
        <f t="shared" si="0"/>
        <v>0.21936061399840043</v>
      </c>
      <c r="C13">
        <f t="shared" si="1"/>
        <v>0.3811449654774155</v>
      </c>
      <c r="D13">
        <f>D5/SUM($D$2:$D$6)</f>
        <v>0.26164630758264545</v>
      </c>
      <c r="E13">
        <f>E5/SUM($E$2:$E$6)</f>
        <v>0.20058901618455446</v>
      </c>
      <c r="F13">
        <f>F5/SUM($F$2:$F$6)</f>
        <v>5.9195966360679718E-2</v>
      </c>
      <c r="G13">
        <f>G5/SUM($G$2:$G$6)</f>
        <v>0.20650552074007755</v>
      </c>
    </row>
    <row r="14" spans="1:12" x14ac:dyDescent="0.35">
      <c r="A14" t="s">
        <v>5</v>
      </c>
      <c r="B14" s="3">
        <f t="shared" si="0"/>
        <v>0.14580260773221215</v>
      </c>
      <c r="C14">
        <f t="shared" si="1"/>
        <v>0.13086667816064454</v>
      </c>
      <c r="D14">
        <f>D6/SUM($D$2:$D$6)</f>
        <v>0.27099235982487296</v>
      </c>
      <c r="E14">
        <f>E6/SUM($E$2:$E$6)</f>
        <v>0.18110467816858003</v>
      </c>
      <c r="F14">
        <f>F6/SUM($F$2:$F$6)</f>
        <v>0.6177087543059484</v>
      </c>
      <c r="G14">
        <f>G6/SUM($G$2:$G$6)</f>
        <v>0.26171292151596531</v>
      </c>
    </row>
    <row r="15" spans="1:12" x14ac:dyDescent="0.35">
      <c r="A15" s="2" t="s">
        <v>19</v>
      </c>
      <c r="B15" s="4"/>
      <c r="C15" s="2"/>
      <c r="D15" s="2"/>
      <c r="E15" s="2"/>
      <c r="F15" s="2"/>
      <c r="G15" s="2"/>
      <c r="I15" s="5" t="s">
        <v>18</v>
      </c>
    </row>
    <row r="16" spans="1:12" x14ac:dyDescent="0.35">
      <c r="B16" s="3" t="s">
        <v>12</v>
      </c>
      <c r="C16" t="s">
        <v>13</v>
      </c>
      <c r="D16" t="s">
        <v>14</v>
      </c>
      <c r="E16" t="s">
        <v>15</v>
      </c>
      <c r="F16" t="s">
        <v>16</v>
      </c>
      <c r="G16" t="s">
        <v>17</v>
      </c>
      <c r="I16" s="5">
        <f>1/LN(5)</f>
        <v>0.62133493455961186</v>
      </c>
    </row>
    <row r="17" spans="1:8" x14ac:dyDescent="0.35">
      <c r="B17" s="3" cm="1">
        <f t="array" ref="B17" xml:space="preserve"> -$I$16 * SUMPRODUCT(B10:B14, LN(B10:B14+0.0000000001))</f>
        <v>0.99270609972872181</v>
      </c>
      <c r="C17" s="3" cm="1">
        <f t="array" ref="C17" xml:space="preserve"> -$I$16 * SUMPRODUCT(C10:C14, LN(C10:C14+0.0000000001))</f>
        <v>0.92618964405426285</v>
      </c>
      <c r="D17" s="3" cm="1">
        <f t="array" ref="D17" xml:space="preserve"> -$I$16 * SUMPRODUCT(D10:D14, LN(D10:D14+0.0000000001))</f>
        <v>0.88511110729830245</v>
      </c>
      <c r="E17" s="3" cm="1">
        <f t="array" ref="E17" xml:space="preserve"> -$I$16 * SUMPRODUCT(E10:E14, LN(E10:E14+0.0000000001))</f>
        <v>0.99904816494315785</v>
      </c>
      <c r="F17" s="3" cm="1">
        <f t="array" ref="F17" xml:space="preserve"> -$I$16 * SUMPRODUCT(F10:F14, LN(F10:F14+0.0000000001))</f>
        <v>0.72765750602640467</v>
      </c>
      <c r="G17" s="3" cm="1">
        <f t="array" ref="G17" xml:space="preserve"> -$I$16 * SUMPRODUCT(G10:G14, LN(G10:G14+0.0000000001))</f>
        <v>0.96494090224360529</v>
      </c>
    </row>
    <row r="18" spans="1:8" x14ac:dyDescent="0.35">
      <c r="A18" s="2" t="s">
        <v>20</v>
      </c>
      <c r="B18" s="4"/>
      <c r="C18" s="2"/>
      <c r="D18" s="2"/>
      <c r="E18" s="2"/>
      <c r="F18" s="2"/>
      <c r="G18" s="2"/>
    </row>
    <row r="19" spans="1:8" x14ac:dyDescent="0.35">
      <c r="B19" s="3">
        <f t="shared" ref="B19:G19" si="2">1-B17</f>
        <v>7.2939002712781864E-3</v>
      </c>
      <c r="C19" s="3">
        <f t="shared" si="2"/>
        <v>7.3810355945737149E-2</v>
      </c>
      <c r="D19" s="3">
        <f t="shared" si="2"/>
        <v>0.11488889270169755</v>
      </c>
      <c r="E19" s="3">
        <f t="shared" si="2"/>
        <v>9.5183505684215408E-4</v>
      </c>
      <c r="F19" s="3">
        <f t="shared" si="2"/>
        <v>0.27234249397359533</v>
      </c>
      <c r="G19" s="3">
        <f t="shared" si="2"/>
        <v>3.5059097756394708E-2</v>
      </c>
    </row>
    <row r="20" spans="1:8" x14ac:dyDescent="0.35">
      <c r="A20" s="2" t="s">
        <v>21</v>
      </c>
      <c r="B20" s="4"/>
      <c r="C20" s="2"/>
      <c r="D20" s="2"/>
      <c r="E20" s="2"/>
      <c r="F20" s="2"/>
      <c r="G20" s="2"/>
    </row>
    <row r="21" spans="1:8" x14ac:dyDescent="0.35">
      <c r="A21" t="s">
        <v>50</v>
      </c>
      <c r="B21" s="3">
        <f t="shared" ref="B21:G21" si="3">B19/SUM($B$19:$G$19)</f>
        <v>1.4462079495780331E-2</v>
      </c>
      <c r="C21" s="3">
        <f t="shared" si="3"/>
        <v>0.14634848237540168</v>
      </c>
      <c r="D21" s="3">
        <f t="shared" si="3"/>
        <v>0.2277975071823897</v>
      </c>
      <c r="E21" s="3">
        <f t="shared" si="3"/>
        <v>1.8872638433414649E-3</v>
      </c>
      <c r="F21" s="3">
        <f t="shared" si="3"/>
        <v>0.53999076645381705</v>
      </c>
      <c r="G21" s="3">
        <f t="shared" si="3"/>
        <v>6.9513900649269836E-2</v>
      </c>
      <c r="H21" s="3">
        <f>SUM(B21:G21)</f>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1DFD8-D228-4BEF-8F59-76B0873F2A72}">
  <dimension ref="A1:J33"/>
  <sheetViews>
    <sheetView zoomScaleNormal="100" workbookViewId="0">
      <selection activeCell="B13" sqref="B13"/>
    </sheetView>
  </sheetViews>
  <sheetFormatPr defaultRowHeight="14.5" x14ac:dyDescent="0.35"/>
  <cols>
    <col min="1" max="1" width="11.1796875" customWidth="1"/>
    <col min="2" max="2" width="8.81640625" bestFit="1" customWidth="1"/>
    <col min="3" max="3" width="10.453125" bestFit="1" customWidth="1"/>
    <col min="4" max="4" width="8.81640625" customWidth="1"/>
    <col min="5" max="9" width="8.81640625" bestFit="1" customWidth="1"/>
  </cols>
  <sheetData>
    <row r="1" spans="1:9" x14ac:dyDescent="0.35">
      <c r="A1" s="2" t="s">
        <v>23</v>
      </c>
      <c r="B1" s="2"/>
      <c r="C1" s="2"/>
      <c r="D1" s="2"/>
      <c r="E1" s="2"/>
      <c r="F1" s="2"/>
      <c r="G1" s="2"/>
    </row>
    <row r="2" spans="1:9" x14ac:dyDescent="0.35">
      <c r="A2" t="s">
        <v>0</v>
      </c>
      <c r="B2" s="3" t="s">
        <v>12</v>
      </c>
      <c r="C2" t="s">
        <v>13</v>
      </c>
      <c r="D2" t="s">
        <v>14</v>
      </c>
      <c r="E2" t="s">
        <v>15</v>
      </c>
      <c r="F2" t="s">
        <v>16</v>
      </c>
      <c r="G2" t="s">
        <v>17</v>
      </c>
    </row>
    <row r="3" spans="1:9" x14ac:dyDescent="0.35">
      <c r="A3" t="s">
        <v>1</v>
      </c>
      <c r="B3" s="3">
        <v>57.914999999999999</v>
      </c>
      <c r="C3" s="3">
        <v>21175.618698821421</v>
      </c>
      <c r="D3" s="3">
        <v>4.5935628228320393</v>
      </c>
      <c r="E3" s="3">
        <v>75.847999999999999</v>
      </c>
      <c r="F3" s="3">
        <v>7.9470000000000001</v>
      </c>
      <c r="G3" s="3">
        <v>9.14</v>
      </c>
      <c r="H3" s="3"/>
      <c r="I3" s="3"/>
    </row>
    <row r="4" spans="1:9" x14ac:dyDescent="0.35">
      <c r="A4" t="s">
        <v>2</v>
      </c>
      <c r="B4" s="3">
        <v>62.756</v>
      </c>
      <c r="C4" s="3">
        <v>25179.119306638298</v>
      </c>
      <c r="D4" s="3">
        <v>0.2348368288930508</v>
      </c>
      <c r="E4" s="3">
        <v>77.953000000000003</v>
      </c>
      <c r="F4" s="3">
        <v>4.67</v>
      </c>
      <c r="G4" s="3">
        <v>5.37</v>
      </c>
      <c r="H4" s="3"/>
      <c r="I4" s="3"/>
    </row>
    <row r="5" spans="1:9" x14ac:dyDescent="0.35">
      <c r="A5" t="s">
        <v>3</v>
      </c>
      <c r="B5" s="3">
        <v>52.369</v>
      </c>
      <c r="C5" s="3">
        <v>10323.499873442801</v>
      </c>
      <c r="D5" s="3">
        <v>5.649143189079247</v>
      </c>
      <c r="E5" s="3">
        <v>72.003</v>
      </c>
      <c r="F5" s="3">
        <v>4.1719999999999997</v>
      </c>
      <c r="G5" s="3">
        <v>3.31</v>
      </c>
      <c r="H5" s="3"/>
      <c r="I5" s="3"/>
    </row>
    <row r="6" spans="1:9" x14ac:dyDescent="0.35">
      <c r="A6" t="s">
        <v>4</v>
      </c>
      <c r="B6" s="3">
        <v>59.792000000000002</v>
      </c>
      <c r="C6" s="3">
        <v>44268.73046875</v>
      </c>
      <c r="D6" s="3">
        <v>5.865719317489674</v>
      </c>
      <c r="E6" s="3">
        <v>73.254634146341488</v>
      </c>
      <c r="F6" s="3">
        <v>3.0760000000000001</v>
      </c>
      <c r="G6" s="3">
        <v>6.92</v>
      </c>
      <c r="H6" s="3"/>
      <c r="I6" s="3"/>
    </row>
    <row r="7" spans="1:9" x14ac:dyDescent="0.35">
      <c r="A7" t="s">
        <v>5</v>
      </c>
      <c r="B7" s="3">
        <v>39.741999999999997</v>
      </c>
      <c r="C7" s="3">
        <v>15199.732982377551</v>
      </c>
      <c r="D7" s="3">
        <v>6.0752438457965967</v>
      </c>
      <c r="E7" s="3">
        <v>66.138999999999996</v>
      </c>
      <c r="F7" s="3">
        <v>32.097999999999999</v>
      </c>
      <c r="G7" s="3">
        <v>8.77</v>
      </c>
      <c r="H7" s="3"/>
      <c r="I7" s="3"/>
    </row>
    <row r="8" spans="1:9" x14ac:dyDescent="0.35">
      <c r="A8" s="4" t="s">
        <v>51</v>
      </c>
      <c r="B8" s="4"/>
      <c r="C8" s="4"/>
      <c r="D8" s="4"/>
      <c r="E8" s="4"/>
      <c r="F8" s="4"/>
      <c r="G8" s="4"/>
      <c r="I8" s="3"/>
    </row>
    <row r="9" spans="1:9" x14ac:dyDescent="0.35">
      <c r="B9" s="3">
        <f t="shared" ref="B9:G9" si="0">SQRT(SUMPRODUCT(B3:B7,B3:B7))</f>
        <v>123.24562771149327</v>
      </c>
      <c r="C9" s="3">
        <f t="shared" si="0"/>
        <v>58135.375684889019</v>
      </c>
      <c r="D9" s="3">
        <f t="shared" si="0"/>
        <v>11.152759183793515</v>
      </c>
      <c r="E9" s="3">
        <f t="shared" si="0"/>
        <v>163.56842625309548</v>
      </c>
      <c r="F9" s="3">
        <f t="shared" si="0"/>
        <v>33.795157537730169</v>
      </c>
      <c r="G9" s="3">
        <f t="shared" si="0"/>
        <v>15.752203020530176</v>
      </c>
      <c r="H9" s="3"/>
      <c r="I9" s="3"/>
    </row>
    <row r="10" spans="1:9" x14ac:dyDescent="0.35">
      <c r="A10" s="2" t="s">
        <v>24</v>
      </c>
      <c r="B10" s="4"/>
      <c r="C10" s="4"/>
      <c r="D10" s="4"/>
      <c r="E10" s="4"/>
      <c r="F10" s="4"/>
      <c r="G10" s="4"/>
      <c r="H10" s="3"/>
      <c r="I10" s="3"/>
    </row>
    <row r="11" spans="1:9" x14ac:dyDescent="0.35">
      <c r="A11" t="s">
        <v>0</v>
      </c>
      <c r="B11" s="10" t="s">
        <v>12</v>
      </c>
      <c r="C11" s="10" t="s">
        <v>13</v>
      </c>
      <c r="D11" s="10" t="s">
        <v>14</v>
      </c>
      <c r="E11" s="10" t="s">
        <v>15</v>
      </c>
      <c r="F11" s="10" t="s">
        <v>16</v>
      </c>
      <c r="G11" s="10" t="s">
        <v>17</v>
      </c>
      <c r="H11" s="3"/>
      <c r="I11" s="3"/>
    </row>
    <row r="12" spans="1:9" x14ac:dyDescent="0.35">
      <c r="A12" t="s">
        <v>1</v>
      </c>
      <c r="B12" s="3">
        <f>B3/$B$9</f>
        <v>0.4699152503452188</v>
      </c>
      <c r="C12" s="3">
        <f>C3/$C$9</f>
        <v>0.36424669918019548</v>
      </c>
      <c r="D12" s="3">
        <f>D3/$D$9</f>
        <v>0.41187680529380699</v>
      </c>
      <c r="E12" s="3">
        <f>E3/$E$9</f>
        <v>0.46370807458058916</v>
      </c>
      <c r="F12" s="3">
        <f>F3/$F$9</f>
        <v>0.23515203298365081</v>
      </c>
      <c r="G12" s="3">
        <f>G3/$G$9</f>
        <v>0.58023630015989802</v>
      </c>
      <c r="H12" s="3"/>
      <c r="I12" s="3"/>
    </row>
    <row r="13" spans="1:9" x14ac:dyDescent="0.35">
      <c r="A13" t="s">
        <v>2</v>
      </c>
      <c r="B13" s="3">
        <f t="shared" ref="B13:B16" si="1">B4/$B$9</f>
        <v>0.50919453424267558</v>
      </c>
      <c r="C13" s="3">
        <f t="shared" ref="C13:C16" si="2">C4/$C$9</f>
        <v>0.43311183612395648</v>
      </c>
      <c r="D13" s="3">
        <f t="shared" ref="D13:D16" si="3">D4/$D$9</f>
        <v>2.1056388380939924E-2</v>
      </c>
      <c r="E13" s="3">
        <f t="shared" ref="E13:E16" si="4">E4/$E$9</f>
        <v>0.47657730642575508</v>
      </c>
      <c r="F13" s="3">
        <f t="shared" ref="F13:F16" si="5">F4/$F$9</f>
        <v>0.13818547804626263</v>
      </c>
      <c r="G13" s="3">
        <f t="shared" ref="G13:G16" si="6">G4/$G$9</f>
        <v>0.34090469713989635</v>
      </c>
      <c r="H13" s="3"/>
      <c r="I13" s="3"/>
    </row>
    <row r="14" spans="1:9" x14ac:dyDescent="0.35">
      <c r="A14" t="s">
        <v>3</v>
      </c>
      <c r="B14" s="3">
        <f t="shared" si="1"/>
        <v>0.42491568238502575</v>
      </c>
      <c r="C14" s="3">
        <f t="shared" si="2"/>
        <v>0.1775769013586363</v>
      </c>
      <c r="D14" s="3">
        <f t="shared" si="3"/>
        <v>0.50652426865705347</v>
      </c>
      <c r="E14" s="3">
        <f t="shared" si="4"/>
        <v>0.44020109289666387</v>
      </c>
      <c r="F14" s="3">
        <f t="shared" si="5"/>
        <v>0.1234496390597447</v>
      </c>
      <c r="G14" s="3">
        <f t="shared" si="6"/>
        <v>0.210129338460532</v>
      </c>
      <c r="H14" s="3"/>
      <c r="I14" s="3"/>
    </row>
    <row r="15" spans="1:9" x14ac:dyDescent="0.35">
      <c r="A15" t="s">
        <v>4</v>
      </c>
      <c r="B15" s="3">
        <f t="shared" si="1"/>
        <v>0.48514499954487311</v>
      </c>
      <c r="C15" s="3">
        <f t="shared" si="2"/>
        <v>0.76147663874573801</v>
      </c>
      <c r="D15" s="3">
        <f t="shared" si="3"/>
        <v>0.52594333122635395</v>
      </c>
      <c r="E15" s="3">
        <f t="shared" si="4"/>
        <v>0.44785314516012936</v>
      </c>
      <c r="F15" s="3">
        <f t="shared" si="5"/>
        <v>9.1018957274155016E-2</v>
      </c>
      <c r="G15" s="3">
        <f t="shared" si="6"/>
        <v>0.43930363206854423</v>
      </c>
      <c r="H15" s="3"/>
      <c r="I15" s="3"/>
    </row>
    <row r="16" spans="1:9" x14ac:dyDescent="0.35">
      <c r="A16" t="s">
        <v>5</v>
      </c>
      <c r="B16" s="3">
        <f t="shared" si="1"/>
        <v>0.32246174357627017</v>
      </c>
      <c r="C16" s="3">
        <f t="shared" si="2"/>
        <v>0.26145411125860119</v>
      </c>
      <c r="D16" s="3">
        <f t="shared" si="3"/>
        <v>0.54473011975590369</v>
      </c>
      <c r="E16" s="3">
        <f t="shared" si="4"/>
        <v>0.40435065321017805</v>
      </c>
      <c r="F16" s="3">
        <f t="shared" si="5"/>
        <v>0.94978104375352002</v>
      </c>
      <c r="G16" s="3">
        <f t="shared" si="6"/>
        <v>0.55674752214467238</v>
      </c>
      <c r="H16" s="3"/>
      <c r="I16" s="3"/>
    </row>
    <row r="17" spans="1:10" x14ac:dyDescent="0.35">
      <c r="A17" s="13" t="s">
        <v>30</v>
      </c>
      <c r="B17" s="10">
        <v>1.4462079495780331E-2</v>
      </c>
      <c r="C17" s="10">
        <v>0.14634848237540168</v>
      </c>
      <c r="D17" s="10">
        <v>0.2277975071823897</v>
      </c>
      <c r="E17" s="10">
        <v>1.8872638433414649E-3</v>
      </c>
      <c r="F17" s="10">
        <v>0.53999076645381705</v>
      </c>
      <c r="G17" s="10">
        <v>6.9513900649269836E-2</v>
      </c>
      <c r="H17" s="10">
        <v>1</v>
      </c>
      <c r="I17" s="3"/>
    </row>
    <row r="18" spans="1:10" x14ac:dyDescent="0.35">
      <c r="A18" s="12" t="s">
        <v>31</v>
      </c>
      <c r="B18" s="4"/>
      <c r="C18" s="4"/>
      <c r="D18" s="4"/>
      <c r="E18" s="4"/>
      <c r="F18" s="4"/>
      <c r="G18" s="4"/>
      <c r="H18" s="3"/>
      <c r="I18" s="3"/>
    </row>
    <row r="19" spans="1:10" x14ac:dyDescent="0.35">
      <c r="A19" t="s">
        <v>0</v>
      </c>
      <c r="B19" s="6" t="s">
        <v>12</v>
      </c>
      <c r="C19" s="6" t="s">
        <v>13</v>
      </c>
      <c r="D19" s="14" t="s">
        <v>14</v>
      </c>
      <c r="E19" s="6" t="s">
        <v>15</v>
      </c>
      <c r="F19" s="14" t="s">
        <v>16</v>
      </c>
      <c r="G19" s="6" t="s">
        <v>17</v>
      </c>
      <c r="H19" s="3"/>
      <c r="I19" s="3"/>
    </row>
    <row r="20" spans="1:10" x14ac:dyDescent="0.35">
      <c r="A20" t="s">
        <v>1</v>
      </c>
      <c r="B20" s="3">
        <f>B12*$B$17</f>
        <v>6.7959517067720703E-3</v>
      </c>
      <c r="C20" s="3">
        <f>C12*$C$17</f>
        <v>5.3306951635271077E-2</v>
      </c>
      <c r="D20" s="3">
        <f>D12*$D$17</f>
        <v>9.3824509512175719E-2</v>
      </c>
      <c r="E20" s="3">
        <f>E12*$E$17</f>
        <v>8.7513948302143333E-4</v>
      </c>
      <c r="F20" s="3">
        <f>F12*$F$17</f>
        <v>0.12697992652401488</v>
      </c>
      <c r="G20" s="3">
        <f>G12*$G$17</f>
        <v>4.0334488522415064E-2</v>
      </c>
      <c r="H20" s="3"/>
      <c r="I20" s="3"/>
    </row>
    <row r="21" spans="1:10" x14ac:dyDescent="0.35">
      <c r="A21" t="s">
        <v>2</v>
      </c>
      <c r="B21" s="3">
        <f t="shared" ref="B21:B24" si="7">B13*$B$17</f>
        <v>7.3640118330344142E-3</v>
      </c>
      <c r="C21" s="3">
        <f t="shared" ref="C21:C24" si="8">C13*$C$17</f>
        <v>6.3385259915564707E-2</v>
      </c>
      <c r="D21" s="3">
        <f t="shared" ref="D21:D24" si="9">D13*$D$17</f>
        <v>4.7965927834423498E-3</v>
      </c>
      <c r="E21" s="3">
        <f t="shared" ref="E21:E24" si="10">E13*$E$17</f>
        <v>8.9942711897439355E-4</v>
      </c>
      <c r="F21" s="3">
        <f t="shared" ref="F21:F24" si="11">F13*$F$17</f>
        <v>7.4618882202988471E-2</v>
      </c>
      <c r="G21" s="3">
        <f t="shared" ref="G21:G24" si="12">G13*$G$17</f>
        <v>2.3697615247852178E-2</v>
      </c>
      <c r="H21" s="3"/>
      <c r="I21" s="3" t="s">
        <v>25</v>
      </c>
      <c r="J21" s="8"/>
    </row>
    <row r="22" spans="1:10" x14ac:dyDescent="0.35">
      <c r="A22" t="s">
        <v>3</v>
      </c>
      <c r="B22" s="3">
        <f t="shared" si="7"/>
        <v>6.1451643776559888E-3</v>
      </c>
      <c r="C22" s="3">
        <f t="shared" si="8"/>
        <v>2.5988110018762826E-2</v>
      </c>
      <c r="D22" s="3">
        <f t="shared" si="9"/>
        <v>0.11538496572745982</v>
      </c>
      <c r="E22" s="3">
        <f t="shared" si="10"/>
        <v>8.3077560642327115E-4</v>
      </c>
      <c r="F22" s="3">
        <f t="shared" si="11"/>
        <v>6.6661665214318613E-2</v>
      </c>
      <c r="G22" s="3">
        <f t="shared" si="12"/>
        <v>1.4606909957242217E-2</v>
      </c>
      <c r="H22" s="3"/>
      <c r="I22" s="3" t="s">
        <v>26</v>
      </c>
      <c r="J22" s="7"/>
    </row>
    <row r="23" spans="1:10" x14ac:dyDescent="0.35">
      <c r="A23" t="s">
        <v>4</v>
      </c>
      <c r="B23" s="3">
        <f t="shared" si="7"/>
        <v>7.0162055503982671E-3</v>
      </c>
      <c r="C23" s="3">
        <f t="shared" si="8"/>
        <v>0.11144095044476075</v>
      </c>
      <c r="D23" s="3">
        <f t="shared" si="9"/>
        <v>0.11980857977256533</v>
      </c>
      <c r="E23" s="3">
        <f t="shared" si="10"/>
        <v>8.452170479874687E-4</v>
      </c>
      <c r="F23" s="3">
        <f t="shared" si="11"/>
        <v>4.9149396500298197E-2</v>
      </c>
      <c r="G23" s="3">
        <f t="shared" si="12"/>
        <v>3.0537709034476175E-2</v>
      </c>
      <c r="H23" s="3"/>
      <c r="I23" s="3"/>
    </row>
    <row r="24" spans="1:10" x14ac:dyDescent="0.35">
      <c r="A24" t="s">
        <v>5</v>
      </c>
      <c r="B24" s="3">
        <f t="shared" si="7"/>
        <v>4.6634673699479517E-3</v>
      </c>
      <c r="C24" s="3">
        <f t="shared" si="8"/>
        <v>3.8263412393505704E-2</v>
      </c>
      <c r="D24" s="3">
        <f t="shared" si="9"/>
        <v>0.12408816336755947</v>
      </c>
      <c r="E24" s="3">
        <f t="shared" si="10"/>
        <v>7.631163678350725E-4</v>
      </c>
      <c r="F24" s="3">
        <f t="shared" si="11"/>
        <v>0.51287299377976958</v>
      </c>
      <c r="G24" s="3">
        <f t="shared" si="12"/>
        <v>3.8701691941091916E-2</v>
      </c>
      <c r="H24" s="3"/>
      <c r="I24" s="3"/>
    </row>
    <row r="25" spans="1:10" x14ac:dyDescent="0.35">
      <c r="A25" s="2"/>
      <c r="B25" s="4" t="s">
        <v>27</v>
      </c>
      <c r="C25" s="4"/>
      <c r="D25" s="4"/>
      <c r="E25" s="4"/>
      <c r="F25" s="4"/>
      <c r="G25" s="4"/>
      <c r="H25" s="4"/>
      <c r="I25" s="3"/>
    </row>
    <row r="26" spans="1:10" x14ac:dyDescent="0.35">
      <c r="B26" s="3"/>
      <c r="C26" s="3"/>
      <c r="D26" s="3"/>
      <c r="E26" s="3"/>
      <c r="F26" s="3"/>
      <c r="G26" s="3"/>
      <c r="H26" s="3"/>
      <c r="I26" s="3"/>
    </row>
    <row r="27" spans="1:10" x14ac:dyDescent="0.35">
      <c r="A27" t="s">
        <v>1</v>
      </c>
      <c r="B27" s="3"/>
      <c r="C27" s="3">
        <f>SUM(B20,C20,E20,G20)-SUM(D20,F20)</f>
        <v>-0.11949190468871096</v>
      </c>
      <c r="D27" s="3"/>
      <c r="E27" s="3"/>
      <c r="F27" s="15" t="s">
        <v>2</v>
      </c>
      <c r="G27" s="15"/>
      <c r="H27" s="15">
        <v>1.5930839128994859E-2</v>
      </c>
      <c r="I27" s="21">
        <v>1</v>
      </c>
    </row>
    <row r="28" spans="1:10" x14ac:dyDescent="0.35">
      <c r="A28" t="s">
        <v>2</v>
      </c>
      <c r="B28" s="3"/>
      <c r="C28" s="3">
        <f>SUM(B21,C21,E21,G21)-SUM(D21,F21)</f>
        <v>1.5930839128994859E-2</v>
      </c>
      <c r="D28" s="3" t="s">
        <v>28</v>
      </c>
      <c r="E28" s="3"/>
      <c r="F28" s="16" t="s">
        <v>4</v>
      </c>
      <c r="G28" s="16"/>
      <c r="H28" s="16">
        <v>-1.9117894195240848E-2</v>
      </c>
      <c r="I28" s="22">
        <v>2</v>
      </c>
    </row>
    <row r="29" spans="1:10" x14ac:dyDescent="0.35">
      <c r="A29" t="s">
        <v>3</v>
      </c>
      <c r="B29" s="3"/>
      <c r="C29" s="3">
        <f>SUM(B22,C22,E22,G22)-SUM(D22,F22)</f>
        <v>-0.13447567098169411</v>
      </c>
      <c r="D29" s="3"/>
      <c r="E29" s="3"/>
      <c r="F29" s="16" t="s">
        <v>1</v>
      </c>
      <c r="G29" s="16"/>
      <c r="H29" s="16">
        <v>-0.11949190468871096</v>
      </c>
      <c r="I29" s="22">
        <v>3</v>
      </c>
    </row>
    <row r="30" spans="1:10" x14ac:dyDescent="0.35">
      <c r="A30" t="s">
        <v>4</v>
      </c>
      <c r="B30" s="3"/>
      <c r="C30" s="3">
        <f>SUM(B23,C23,E23,G23)-SUM(D23,F23)</f>
        <v>-1.9117894195240848E-2</v>
      </c>
      <c r="D30" s="3"/>
      <c r="E30" s="3"/>
      <c r="F30" s="16" t="s">
        <v>3</v>
      </c>
      <c r="G30" s="16"/>
      <c r="H30" s="16">
        <v>-0.13447567098169411</v>
      </c>
      <c r="I30" s="22">
        <v>4</v>
      </c>
    </row>
    <row r="31" spans="1:10" x14ac:dyDescent="0.35">
      <c r="A31" t="s">
        <v>5</v>
      </c>
      <c r="B31" s="3"/>
      <c r="C31" s="3">
        <f>SUM(B24,C24,E24,G24)-SUM(D24,F24)</f>
        <v>-0.55456946907494842</v>
      </c>
      <c r="D31" s="3"/>
      <c r="E31" s="3"/>
      <c r="F31" s="16" t="s">
        <v>5</v>
      </c>
      <c r="G31" s="16"/>
      <c r="H31" s="16">
        <v>-0.55456946907494842</v>
      </c>
      <c r="I31" s="22">
        <v>5</v>
      </c>
    </row>
    <row r="32" spans="1:10" x14ac:dyDescent="0.35">
      <c r="B32" s="3"/>
      <c r="C32" s="3"/>
      <c r="D32" s="3"/>
      <c r="E32" s="3"/>
      <c r="F32" s="15" t="s">
        <v>29</v>
      </c>
      <c r="G32" s="15"/>
      <c r="H32" s="15"/>
      <c r="I32" s="15"/>
    </row>
    <row r="33" spans="2:9" x14ac:dyDescent="0.35">
      <c r="B33" s="3"/>
      <c r="C33" s="3"/>
      <c r="D33" s="3"/>
      <c r="E33" s="3"/>
      <c r="F33" s="3"/>
      <c r="G33" s="3"/>
      <c r="H33" s="3"/>
      <c r="I33" s="3"/>
    </row>
  </sheetData>
  <sortState xmlns:xlrd2="http://schemas.microsoft.com/office/spreadsheetml/2017/richdata2" ref="F27:H31">
    <sortCondition descending="1" ref="H27:H31"/>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31951-1E3C-448E-B9E0-0312E1F0C07B}">
  <dimension ref="A1:K39"/>
  <sheetViews>
    <sheetView tabSelected="1" topLeftCell="A22" workbookViewId="0">
      <selection activeCell="J38" sqref="J38"/>
    </sheetView>
  </sheetViews>
  <sheetFormatPr defaultRowHeight="14.5" x14ac:dyDescent="0.35"/>
  <cols>
    <col min="1" max="1" width="11.26953125" customWidth="1"/>
    <col min="3" max="3" width="10.26953125" bestFit="1" customWidth="1"/>
  </cols>
  <sheetData>
    <row r="1" spans="1:8" x14ac:dyDescent="0.35">
      <c r="A1" s="2" t="s">
        <v>23</v>
      </c>
      <c r="B1" s="2"/>
      <c r="C1" s="2"/>
      <c r="D1" s="2"/>
      <c r="E1" s="2"/>
      <c r="F1" s="2"/>
      <c r="G1" s="2"/>
    </row>
    <row r="2" spans="1:8" x14ac:dyDescent="0.35">
      <c r="A2" t="s">
        <v>0</v>
      </c>
      <c r="B2" s="3" t="s">
        <v>12</v>
      </c>
      <c r="C2" t="s">
        <v>13</v>
      </c>
      <c r="D2" t="s">
        <v>14</v>
      </c>
      <c r="E2" t="s">
        <v>15</v>
      </c>
      <c r="F2" t="s">
        <v>16</v>
      </c>
      <c r="G2" t="s">
        <v>17</v>
      </c>
    </row>
    <row r="3" spans="1:8" x14ac:dyDescent="0.35">
      <c r="A3" t="s">
        <v>1</v>
      </c>
      <c r="B3" s="3">
        <v>57.914999999999999</v>
      </c>
      <c r="C3" s="3">
        <v>21175.618698821399</v>
      </c>
      <c r="D3" s="3">
        <v>4.5935628228320393</v>
      </c>
      <c r="E3" s="3">
        <v>75.847999999999999</v>
      </c>
      <c r="F3" s="3">
        <v>7.9470000000000001</v>
      </c>
      <c r="G3" s="3">
        <v>9.14</v>
      </c>
    </row>
    <row r="4" spans="1:8" x14ac:dyDescent="0.35">
      <c r="A4" t="s">
        <v>2</v>
      </c>
      <c r="B4" s="3">
        <v>62.756</v>
      </c>
      <c r="C4" s="3">
        <v>25179.119306638298</v>
      </c>
      <c r="D4" s="3">
        <v>0.2348368288930508</v>
      </c>
      <c r="E4" s="3">
        <v>77.953000000000003</v>
      </c>
      <c r="F4" s="3">
        <v>4.67</v>
      </c>
      <c r="G4" s="3">
        <v>5.37</v>
      </c>
    </row>
    <row r="5" spans="1:8" x14ac:dyDescent="0.35">
      <c r="A5" t="s">
        <v>3</v>
      </c>
      <c r="B5" s="3">
        <v>52.369</v>
      </c>
      <c r="C5" s="3">
        <v>10323.499873442801</v>
      </c>
      <c r="D5" s="3">
        <v>5.649143189079247</v>
      </c>
      <c r="E5" s="3">
        <v>72.003</v>
      </c>
      <c r="F5" s="3">
        <v>4.1719999999999997</v>
      </c>
      <c r="G5" s="3">
        <v>3.31</v>
      </c>
    </row>
    <row r="6" spans="1:8" x14ac:dyDescent="0.35">
      <c r="A6" t="s">
        <v>4</v>
      </c>
      <c r="B6" s="3">
        <v>59.792000000000002</v>
      </c>
      <c r="C6" s="3">
        <v>44268.73046875</v>
      </c>
      <c r="D6" s="3">
        <v>5.865719317489674</v>
      </c>
      <c r="E6" s="3">
        <v>73.254634146341488</v>
      </c>
      <c r="F6" s="3">
        <v>3.0760000000000001</v>
      </c>
      <c r="G6" s="3">
        <v>6.92</v>
      </c>
    </row>
    <row r="7" spans="1:8" x14ac:dyDescent="0.35">
      <c r="A7" t="s">
        <v>5</v>
      </c>
      <c r="B7" s="3">
        <v>39.741999999999997</v>
      </c>
      <c r="C7" s="3">
        <v>15199.732982377551</v>
      </c>
      <c r="D7" s="3">
        <v>6.0752438457965967</v>
      </c>
      <c r="E7" s="3">
        <v>66.138999999999996</v>
      </c>
      <c r="F7" s="3">
        <v>32.097999999999999</v>
      </c>
      <c r="G7" s="3">
        <v>8.77</v>
      </c>
    </row>
    <row r="8" spans="1:8" x14ac:dyDescent="0.35">
      <c r="A8" s="2" t="s">
        <v>32</v>
      </c>
      <c r="B8" s="2"/>
      <c r="C8" s="2"/>
      <c r="D8" s="2"/>
      <c r="E8" s="2"/>
      <c r="F8" s="2"/>
      <c r="G8" s="2"/>
    </row>
    <row r="9" spans="1:8" x14ac:dyDescent="0.35">
      <c r="A9" t="s">
        <v>1</v>
      </c>
      <c r="B9" s="3">
        <f>B3/SUM($B$3:$B$7)</f>
        <v>0.21247441061876773</v>
      </c>
      <c r="C9" s="3">
        <f>C3/SUM($C$3:$C$7)</f>
        <v>0.18231786573646225</v>
      </c>
      <c r="D9" s="3">
        <f>D3/SUM($D$3:$D$7)</f>
        <v>0.20490048810540151</v>
      </c>
      <c r="E9" s="3">
        <f>E3/SUM($E$3:$E$7)</f>
        <v>0.20769028303618831</v>
      </c>
      <c r="F9" s="3">
        <f>F3/SUM($F$3:$F$7)</f>
        <v>0.15293574274002655</v>
      </c>
      <c r="G9" s="3">
        <f>G3/SUM($G$3:$G$7)</f>
        <v>0.2727544016711429</v>
      </c>
    </row>
    <row r="10" spans="1:8" x14ac:dyDescent="0.35">
      <c r="A10" t="s">
        <v>2</v>
      </c>
      <c r="B10" s="3">
        <f t="shared" ref="B10:B13" si="0">B4/SUM($B$3:$B$7)</f>
        <v>0.23023472524892322</v>
      </c>
      <c r="C10" s="3">
        <f t="shared" ref="C10:C13" si="1">C4/SUM($C$3:$C$7)</f>
        <v>0.21678720978129207</v>
      </c>
      <c r="D10" s="3">
        <f t="shared" ref="D10:D13" si="2">D4/SUM($D$3:$D$7)</f>
        <v>1.0475132858996096E-2</v>
      </c>
      <c r="E10" s="3">
        <f t="shared" ref="E10:E13" si="3">E4/SUM($E$3:$E$7)</f>
        <v>0.21345428532749694</v>
      </c>
      <c r="F10" s="3">
        <f t="shared" ref="F10:F13" si="4">F4/SUM($F$3:$F$7)</f>
        <v>8.9871639435752354E-2</v>
      </c>
      <c r="G10" s="3">
        <f t="shared" ref="G10:G13" si="5">G4/SUM($G$3:$G$7)</f>
        <v>0.16025067144136076</v>
      </c>
    </row>
    <row r="11" spans="1:8" x14ac:dyDescent="0.35">
      <c r="A11" t="s">
        <v>3</v>
      </c>
      <c r="B11" s="3">
        <f t="shared" si="0"/>
        <v>0.19212764240169641</v>
      </c>
      <c r="C11" s="3">
        <f t="shared" si="1"/>
        <v>8.8883280844185564E-2</v>
      </c>
      <c r="D11" s="3">
        <f t="shared" si="2"/>
        <v>0.25198571162808409</v>
      </c>
      <c r="E11" s="3">
        <f t="shared" si="3"/>
        <v>0.1971617372831804</v>
      </c>
      <c r="F11" s="3">
        <f t="shared" si="4"/>
        <v>8.0287897157592894E-2</v>
      </c>
      <c r="G11" s="3">
        <f t="shared" si="5"/>
        <v>9.877648463145329E-2</v>
      </c>
    </row>
    <row r="12" spans="1:8" x14ac:dyDescent="0.35">
      <c r="A12" t="s">
        <v>4</v>
      </c>
      <c r="B12" s="3">
        <f t="shared" si="0"/>
        <v>0.21936061399840043</v>
      </c>
      <c r="C12" s="3">
        <f t="shared" si="1"/>
        <v>0.38114496547741555</v>
      </c>
      <c r="D12" s="3">
        <f t="shared" si="2"/>
        <v>0.26164630758264545</v>
      </c>
      <c r="E12" s="3">
        <f t="shared" si="3"/>
        <v>0.20058901618455446</v>
      </c>
      <c r="F12" s="3">
        <f t="shared" si="4"/>
        <v>5.9195966360679718E-2</v>
      </c>
      <c r="G12" s="3">
        <f t="shared" si="5"/>
        <v>0.20650552074007755</v>
      </c>
    </row>
    <row r="13" spans="1:8" x14ac:dyDescent="0.35">
      <c r="A13" t="s">
        <v>5</v>
      </c>
      <c r="B13" s="3">
        <f t="shared" si="0"/>
        <v>0.14580260773221215</v>
      </c>
      <c r="C13" s="3">
        <f t="shared" si="1"/>
        <v>0.13086667816064457</v>
      </c>
      <c r="D13" s="3">
        <f t="shared" si="2"/>
        <v>0.27099235982487296</v>
      </c>
      <c r="E13" s="3">
        <f t="shared" si="3"/>
        <v>0.18110467816858003</v>
      </c>
      <c r="F13" s="3">
        <f t="shared" si="4"/>
        <v>0.6177087543059484</v>
      </c>
      <c r="G13" s="3">
        <f t="shared" si="5"/>
        <v>0.26171292151596531</v>
      </c>
    </row>
    <row r="14" spans="1:8" x14ac:dyDescent="0.35">
      <c r="A14" s="9" t="s">
        <v>35</v>
      </c>
      <c r="B14" s="15">
        <f t="shared" ref="B14:G14" si="6">SUM(B9:B13)</f>
        <v>1</v>
      </c>
      <c r="C14" s="15">
        <f t="shared" si="6"/>
        <v>1</v>
      </c>
      <c r="D14" s="15">
        <f t="shared" si="6"/>
        <v>1</v>
      </c>
      <c r="E14" s="15">
        <f t="shared" si="6"/>
        <v>1.0000000000000002</v>
      </c>
      <c r="F14" s="15">
        <f t="shared" si="6"/>
        <v>0.99999999999999989</v>
      </c>
      <c r="G14" s="15">
        <f t="shared" si="6"/>
        <v>0.99999999999999978</v>
      </c>
    </row>
    <row r="15" spans="1:8" x14ac:dyDescent="0.35">
      <c r="A15" t="s">
        <v>33</v>
      </c>
      <c r="B15" s="3">
        <v>1.4462079495780331E-2</v>
      </c>
      <c r="C15" s="3">
        <v>0.14634848237540168</v>
      </c>
      <c r="D15" s="3">
        <v>0.2277975071823897</v>
      </c>
      <c r="E15" s="3">
        <v>1.8872638433414649E-3</v>
      </c>
      <c r="F15" s="3">
        <v>0.53999076645381705</v>
      </c>
      <c r="G15" s="3">
        <v>6.9513900649269836E-2</v>
      </c>
      <c r="H15" s="9">
        <v>1</v>
      </c>
    </row>
    <row r="16" spans="1:8" x14ac:dyDescent="0.35">
      <c r="A16" s="2" t="s">
        <v>34</v>
      </c>
      <c r="B16" s="2"/>
      <c r="C16" s="2"/>
      <c r="D16" s="2"/>
      <c r="E16" s="2"/>
      <c r="F16" s="2"/>
      <c r="G16" s="2"/>
    </row>
    <row r="17" spans="1:11" x14ac:dyDescent="0.35">
      <c r="A17" t="s">
        <v>0</v>
      </c>
      <c r="B17" s="6" t="s">
        <v>12</v>
      </c>
      <c r="C17" s="7" t="s">
        <v>13</v>
      </c>
      <c r="D17" s="18" t="s">
        <v>14</v>
      </c>
      <c r="E17" s="7" t="s">
        <v>15</v>
      </c>
      <c r="F17" s="8" t="s">
        <v>16</v>
      </c>
      <c r="G17" s="7" t="s">
        <v>17</v>
      </c>
      <c r="I17" s="8"/>
      <c r="J17" t="s">
        <v>25</v>
      </c>
    </row>
    <row r="18" spans="1:11" x14ac:dyDescent="0.35">
      <c r="A18" t="s">
        <v>1</v>
      </c>
      <c r="B18" s="3">
        <f>B9*$B$15</f>
        <v>3.0728218171876915E-3</v>
      </c>
      <c r="C18" s="3">
        <f>C9*$C$15</f>
        <v>2.6681942960453495E-2</v>
      </c>
      <c r="D18" s="3">
        <f>D9*$D$15</f>
        <v>4.6675820410865355E-2</v>
      </c>
      <c r="E18" s="3">
        <f>E9*$E$15</f>
        <v>3.9196636178755341E-4</v>
      </c>
      <c r="F18" s="3">
        <f>F9*$F$15</f>
        <v>8.258388894037072E-2</v>
      </c>
      <c r="G18" s="3">
        <f>G9*$G$15</f>
        <v>1.8960222379418867E-2</v>
      </c>
      <c r="I18" s="7"/>
      <c r="J18" t="s">
        <v>26</v>
      </c>
    </row>
    <row r="19" spans="1:11" x14ac:dyDescent="0.35">
      <c r="A19" t="s">
        <v>2</v>
      </c>
      <c r="B19" s="3">
        <f t="shared" ref="B19:B22" si="7">B10*$B$15</f>
        <v>3.3296728992390705E-3</v>
      </c>
      <c r="C19" s="3">
        <f t="shared" ref="C19:C22" si="8">C10*$C$15</f>
        <v>3.1726479149889929E-2</v>
      </c>
      <c r="D19" s="3">
        <f t="shared" ref="D19:D22" si="9">D10*$D$15</f>
        <v>2.3862091526836494E-3</v>
      </c>
      <c r="E19" s="3">
        <f t="shared" ref="E19:E22" si="10">E10*$E$15</f>
        <v>4.0284455490487755E-4</v>
      </c>
      <c r="F19" s="3">
        <f t="shared" ref="F19:F21" si="11">F10*$F$15</f>
        <v>4.8529855461373006E-2</v>
      </c>
      <c r="G19" s="3">
        <f t="shared" ref="G19:G22" si="12">G10*$G$15</f>
        <v>1.1139649253553536E-2</v>
      </c>
    </row>
    <row r="20" spans="1:11" x14ac:dyDescent="0.35">
      <c r="A20" t="s">
        <v>3</v>
      </c>
      <c r="B20" s="3">
        <f t="shared" si="7"/>
        <v>2.7785652377501895E-3</v>
      </c>
      <c r="C20" s="3">
        <f t="shared" si="8"/>
        <v>1.3007933260093169E-2</v>
      </c>
      <c r="D20" s="3">
        <f t="shared" si="9"/>
        <v>5.7401716954458067E-2</v>
      </c>
      <c r="E20" s="3">
        <f>E11*$E$15</f>
        <v>3.7209621806493523E-4</v>
      </c>
      <c r="F20" s="3">
        <f t="shared" si="11"/>
        <v>4.3354723123093825E-2</v>
      </c>
      <c r="G20" s="3">
        <f t="shared" si="12"/>
        <v>6.8663387391549729E-3</v>
      </c>
    </row>
    <row r="21" spans="1:11" x14ac:dyDescent="0.35">
      <c r="A21" t="s">
        <v>4</v>
      </c>
      <c r="B21" s="3">
        <f t="shared" si="7"/>
        <v>3.1724106378880506E-3</v>
      </c>
      <c r="C21" s="3">
        <f t="shared" si="8"/>
        <v>5.5779987262644631E-2</v>
      </c>
      <c r="D21" s="3">
        <f t="shared" si="9"/>
        <v>5.9602376630803422E-2</v>
      </c>
      <c r="E21" s="3">
        <f t="shared" si="10"/>
        <v>3.7856439761654555E-4</v>
      </c>
      <c r="F21" s="3">
        <f t="shared" si="11"/>
        <v>3.1965275246077812E-2</v>
      </c>
      <c r="G21" s="3">
        <f t="shared" si="12"/>
        <v>1.4355004252251483E-2</v>
      </c>
    </row>
    <row r="22" spans="1:11" x14ac:dyDescent="0.35">
      <c r="A22" t="s">
        <v>5</v>
      </c>
      <c r="B22" s="3">
        <f t="shared" si="7"/>
        <v>2.1086089037153279E-3</v>
      </c>
      <c r="C22" s="3">
        <f t="shared" si="8"/>
        <v>1.9152139742320457E-2</v>
      </c>
      <c r="D22" s="3">
        <f t="shared" si="9"/>
        <v>6.173138403357923E-2</v>
      </c>
      <c r="E22" s="3">
        <f t="shared" si="10"/>
        <v>3.4179231096755346E-4</v>
      </c>
      <c r="F22" s="3">
        <f>F13*$F$15</f>
        <v>0.33355702368290163</v>
      </c>
      <c r="G22" s="3">
        <f t="shared" si="12"/>
        <v>1.8192686024890967E-2</v>
      </c>
    </row>
    <row r="23" spans="1:11" x14ac:dyDescent="0.35">
      <c r="A23" s="2" t="s">
        <v>36</v>
      </c>
      <c r="B23" s="2"/>
      <c r="C23" s="2"/>
      <c r="D23" s="2"/>
      <c r="E23" s="2"/>
      <c r="F23" s="2"/>
      <c r="G23" s="2"/>
    </row>
    <row r="24" spans="1:11" x14ac:dyDescent="0.35">
      <c r="B24" s="11" t="s">
        <v>1</v>
      </c>
      <c r="C24" s="11" t="s">
        <v>2</v>
      </c>
      <c r="D24" s="11" t="s">
        <v>3</v>
      </c>
      <c r="E24" s="11" t="s">
        <v>4</v>
      </c>
      <c r="F24" s="11"/>
      <c r="G24" t="s">
        <v>5</v>
      </c>
    </row>
    <row r="25" spans="1:11" ht="16.5" x14ac:dyDescent="0.35">
      <c r="A25" t="s">
        <v>37</v>
      </c>
      <c r="B25" s="3">
        <f>SUM(B18,C18,E18,G18)</f>
        <v>4.9106953518847606E-2</v>
      </c>
      <c r="C25" s="3">
        <f>SUM(B19,C19,E19,G19)</f>
        <v>4.6598645857587412E-2</v>
      </c>
      <c r="D25" s="3">
        <f>SUM(B20,C20,E20,G20)</f>
        <v>2.3024933455063269E-2</v>
      </c>
      <c r="E25" s="3">
        <f>SUM(B21,C21,E21,G21)</f>
        <v>7.3685966550400717E-2</v>
      </c>
      <c r="G25" s="3">
        <f>SUM(B22,C22,E22,G22)</f>
        <v>3.9795226981894305E-2</v>
      </c>
    </row>
    <row r="26" spans="1:11" ht="16.5" x14ac:dyDescent="0.35">
      <c r="A26" s="2" t="s">
        <v>38</v>
      </c>
      <c r="B26" s="2"/>
      <c r="C26" s="2"/>
      <c r="D26" s="2"/>
      <c r="E26" s="2"/>
      <c r="F26" s="2"/>
      <c r="G26" s="2"/>
    </row>
    <row r="27" spans="1:11" x14ac:dyDescent="0.35">
      <c r="B27" t="s">
        <v>1</v>
      </c>
      <c r="C27" t="s">
        <v>2</v>
      </c>
      <c r="D27" t="s">
        <v>3</v>
      </c>
      <c r="E27" t="s">
        <v>4</v>
      </c>
      <c r="G27" t="s">
        <v>5</v>
      </c>
    </row>
    <row r="28" spans="1:11" ht="16.5" x14ac:dyDescent="0.35">
      <c r="A28" t="s">
        <v>39</v>
      </c>
      <c r="B28" s="3">
        <f>SUM(D18,F18)</f>
        <v>0.12925970935123607</v>
      </c>
      <c r="C28" s="3">
        <f>SUM(D19,F19)</f>
        <v>5.0916064614056657E-2</v>
      </c>
      <c r="D28" s="3">
        <f>SUM(D20,F20)</f>
        <v>0.10075644007755188</v>
      </c>
      <c r="E28" s="3">
        <f>SUM(D21,F21)</f>
        <v>9.1567651876881234E-2</v>
      </c>
      <c r="G28" s="3">
        <f>SUM(D22,F22)</f>
        <v>0.39528840771648088</v>
      </c>
    </row>
    <row r="29" spans="1:11" x14ac:dyDescent="0.35">
      <c r="A29" s="2" t="s">
        <v>41</v>
      </c>
      <c r="B29" s="2"/>
      <c r="C29" s="2"/>
      <c r="D29" s="2"/>
      <c r="E29" s="2"/>
      <c r="F29" s="2"/>
      <c r="G29" s="2"/>
      <c r="I29" s="13" t="s">
        <v>40</v>
      </c>
      <c r="J29" s="13"/>
      <c r="K29" s="13"/>
    </row>
    <row r="30" spans="1:11" x14ac:dyDescent="0.35">
      <c r="B30" t="s">
        <v>1</v>
      </c>
      <c r="C30" t="s">
        <v>2</v>
      </c>
      <c r="D30" t="s">
        <v>3</v>
      </c>
      <c r="E30" t="s">
        <v>4</v>
      </c>
      <c r="G30" t="s">
        <v>5</v>
      </c>
      <c r="I30" s="19">
        <f>SUM($B$28:$G$28)</f>
        <v>0.76778827363620672</v>
      </c>
      <c r="J30" s="13"/>
      <c r="K30" s="13"/>
    </row>
    <row r="31" spans="1:11" x14ac:dyDescent="0.35">
      <c r="A31" t="s">
        <v>43</v>
      </c>
      <c r="B31" s="3">
        <f>B25+($I$30/B28)</f>
        <v>5.9889955505905279</v>
      </c>
      <c r="C31" s="3">
        <f>C25+($I$30/C28)</f>
        <v>15.126088379717331</v>
      </c>
      <c r="D31" s="3">
        <f>D25+($I$30/D28)</f>
        <v>7.6432651190475944</v>
      </c>
      <c r="E31" s="3">
        <f>E25+($I$30/E28)</f>
        <v>8.4586151189168799</v>
      </c>
      <c r="F31" s="3"/>
      <c r="G31" s="3">
        <f>G25+($I$30/G28)</f>
        <v>1.9821448093326621</v>
      </c>
      <c r="I31" s="13" t="s">
        <v>42</v>
      </c>
      <c r="J31" s="13"/>
      <c r="K31" s="13"/>
    </row>
    <row r="32" spans="1:11" ht="16.5" x14ac:dyDescent="0.45">
      <c r="A32" s="2" t="s">
        <v>45</v>
      </c>
      <c r="B32" s="2"/>
      <c r="C32" s="2"/>
      <c r="D32" s="2"/>
      <c r="E32" s="2"/>
      <c r="F32" s="2"/>
      <c r="G32" s="2"/>
    </row>
    <row r="33" spans="1:11" x14ac:dyDescent="0.35">
      <c r="B33" t="s">
        <v>1</v>
      </c>
      <c r="C33" t="s">
        <v>2</v>
      </c>
      <c r="D33" t="s">
        <v>3</v>
      </c>
      <c r="E33" t="s">
        <v>4</v>
      </c>
      <c r="G33" t="s">
        <v>5</v>
      </c>
    </row>
    <row r="34" spans="1:11" ht="16.5" x14ac:dyDescent="0.45">
      <c r="A34" t="s">
        <v>46</v>
      </c>
      <c r="B34" s="3">
        <f>(B31/$J$35)*100</f>
        <v>39.593785249274625</v>
      </c>
      <c r="C34" s="3">
        <f t="shared" ref="C34:G34" si="13">(C31/$J$35)*100</f>
        <v>99.999923177271938</v>
      </c>
      <c r="D34" s="3">
        <f t="shared" si="13"/>
        <v>50.530309326578525</v>
      </c>
      <c r="E34" s="3">
        <f t="shared" si="13"/>
        <v>55.920661101783544</v>
      </c>
      <c r="F34" s="3"/>
      <c r="G34" s="3">
        <f t="shared" si="13"/>
        <v>13.104136620362567</v>
      </c>
      <c r="I34" s="13" t="s">
        <v>44</v>
      </c>
      <c r="J34" s="13"/>
      <c r="K34" s="13"/>
    </row>
    <row r="35" spans="1:11" x14ac:dyDescent="0.35">
      <c r="A35" s="2" t="s">
        <v>48</v>
      </c>
      <c r="B35" s="2"/>
      <c r="C35" s="2"/>
      <c r="D35" s="2"/>
      <c r="E35" s="2"/>
      <c r="F35" s="2"/>
      <c r="G35" s="2"/>
      <c r="I35" s="13" t="s">
        <v>47</v>
      </c>
      <c r="J35" s="13">
        <v>15.126099999999999</v>
      </c>
    </row>
    <row r="36" spans="1:11" x14ac:dyDescent="0.35">
      <c r="B36" t="s">
        <v>1</v>
      </c>
      <c r="C36" t="s">
        <v>2</v>
      </c>
      <c r="D36" t="s">
        <v>3</v>
      </c>
      <c r="E36" t="s">
        <v>4</v>
      </c>
      <c r="G36" t="s">
        <v>5</v>
      </c>
    </row>
    <row r="37" spans="1:11" x14ac:dyDescent="0.35">
      <c r="B37" s="20">
        <v>0.39589999999999997</v>
      </c>
      <c r="C37" s="20">
        <v>0.99990000000000001</v>
      </c>
      <c r="D37" s="20">
        <v>0.50529999999999997</v>
      </c>
      <c r="E37" s="23">
        <v>55.920661101783502</v>
      </c>
      <c r="G37" s="20">
        <v>0.13100000000000001</v>
      </c>
    </row>
    <row r="39" spans="1:11" x14ac:dyDescent="0.35">
      <c r="B39" s="9" t="s">
        <v>49</v>
      </c>
      <c r="C39" s="9"/>
      <c r="D39" s="9"/>
      <c r="E39" s="9"/>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Karar Matrisi</vt:lpstr>
      <vt:lpstr>entropy</vt:lpstr>
      <vt:lpstr>moora</vt:lpstr>
      <vt:lpstr>copras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miray hilesiz</cp:lastModifiedBy>
  <dcterms:created xsi:type="dcterms:W3CDTF">2025-12-29T12:21:20Z</dcterms:created>
  <dcterms:modified xsi:type="dcterms:W3CDTF">2026-01-05T15:12:30Z</dcterms:modified>
</cp:coreProperties>
</file>